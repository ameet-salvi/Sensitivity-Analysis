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eet\OneDrive\Desktop\Important Excel\"/>
    </mc:Choice>
  </mc:AlternateContent>
  <xr:revisionPtr revIDLastSave="0" documentId="13_ncr:1_{5A38E962-006B-4156-B78A-496FE80830B7}" xr6:coauthVersionLast="47" xr6:coauthVersionMax="47" xr10:uidLastSave="{00000000-0000-0000-0000-000000000000}"/>
  <bookViews>
    <workbookView xWindow="-120" yWindow="-120" windowWidth="20730" windowHeight="11160" tabRatio="500" firstSheet="7" activeTab="7" xr2:uid="{00000000-000D-0000-FFFF-FFFF00000000}"/>
  </bookViews>
  <sheets>
    <sheet name="Cover" sheetId="1" r:id="rId1"/>
    <sheet name="Assumptions" sheetId="2" r:id="rId2"/>
    <sheet name="Income Statement" sheetId="3" r:id="rId3"/>
    <sheet name="Cash Flow Statement" sheetId="4" r:id="rId4"/>
    <sheet name="DCF Valuation" sheetId="5" r:id="rId5"/>
    <sheet name="Sensitivity Analysis" sheetId="6" r:id="rId6"/>
    <sheet name="Charts &amp; Visualizations" sheetId="7" r:id="rId7"/>
    <sheet name="Tornado Analysis" sheetId="8" r:id="rId8"/>
    <sheet name="Sheet1" sheetId="9" r:id="rId9"/>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4" i="8" l="1"/>
  <c r="B43" i="8"/>
  <c r="B42" i="8"/>
  <c r="B41" i="8"/>
  <c r="C11" i="2"/>
  <c r="D6" i="3" s="1"/>
  <c r="D12" i="3" s="1"/>
  <c r="C27" i="2"/>
  <c r="C26" i="2"/>
  <c r="C25" i="2"/>
  <c r="D6" i="5" s="1"/>
  <c r="G15" i="2"/>
  <c r="F15" i="2"/>
  <c r="E15" i="2"/>
  <c r="D15" i="2"/>
  <c r="C15" i="2"/>
  <c r="I6" i="8"/>
  <c r="I7" i="8"/>
  <c r="I8" i="8"/>
  <c r="I9" i="8"/>
  <c r="I5" i="8"/>
  <c r="J5" i="7"/>
  <c r="C9" i="3"/>
  <c r="C5" i="7"/>
  <c r="C22" i="5"/>
  <c r="C20" i="5"/>
  <c r="C12" i="4"/>
  <c r="C6" i="4"/>
  <c r="G11" i="2" l="1"/>
  <c r="F11" i="2"/>
  <c r="E11" i="2"/>
  <c r="D11" i="2"/>
  <c r="E6" i="3" s="1"/>
  <c r="F6" i="5"/>
  <c r="E6" i="5"/>
  <c r="C6" i="5"/>
  <c r="G6" i="5"/>
  <c r="C6" i="7"/>
  <c r="D7" i="4"/>
  <c r="D11" i="3"/>
  <c r="D11" i="4"/>
  <c r="D12" i="4" s="1"/>
  <c r="C13" i="3"/>
  <c r="C10" i="3"/>
  <c r="I5" i="7" s="1"/>
  <c r="D15" i="3"/>
  <c r="D6" i="4" s="1"/>
  <c r="D8" i="3"/>
  <c r="D9" i="3" l="1"/>
  <c r="D10" i="3" s="1"/>
  <c r="I6" i="7" s="1"/>
  <c r="C7" i="7"/>
  <c r="E15" i="3"/>
  <c r="E6" i="4" s="1"/>
  <c r="E7" i="4"/>
  <c r="E12" i="3"/>
  <c r="E11" i="4"/>
  <c r="E12" i="4" s="1"/>
  <c r="E11" i="3"/>
  <c r="F6" i="3"/>
  <c r="E8" i="3"/>
  <c r="E9" i="3" s="1"/>
  <c r="C16" i="3"/>
  <c r="D5" i="7" s="1"/>
  <c r="C19" i="3"/>
  <c r="C14" i="3"/>
  <c r="D13" i="3" l="1"/>
  <c r="E13" i="3"/>
  <c r="E10" i="3"/>
  <c r="I7" i="7" s="1"/>
  <c r="F7" i="4"/>
  <c r="F12" i="3"/>
  <c r="C8" i="7"/>
  <c r="F11" i="4"/>
  <c r="F12" i="4" s="1"/>
  <c r="F11" i="3"/>
  <c r="G6" i="3"/>
  <c r="F15" i="3"/>
  <c r="F6" i="4" s="1"/>
  <c r="F8" i="3"/>
  <c r="F9" i="3" s="1"/>
  <c r="C20" i="3"/>
  <c r="C21" i="3" s="1"/>
  <c r="D19" i="3" l="1"/>
  <c r="D20" i="3" s="1"/>
  <c r="D21" i="3" s="1"/>
  <c r="E6" i="7" s="1"/>
  <c r="D16" i="3"/>
  <c r="D6" i="7" s="1"/>
  <c r="J6" i="7" s="1"/>
  <c r="D14" i="3"/>
  <c r="F13" i="3"/>
  <c r="F10" i="3"/>
  <c r="I8" i="7" s="1"/>
  <c r="G11" i="4"/>
  <c r="G12" i="4" s="1"/>
  <c r="G11" i="3"/>
  <c r="G15" i="3"/>
  <c r="G6" i="4" s="1"/>
  <c r="G8" i="3"/>
  <c r="G9" i="3" s="1"/>
  <c r="H6" i="3"/>
  <c r="C9" i="7"/>
  <c r="G7" i="4"/>
  <c r="G12" i="3"/>
  <c r="E5" i="7"/>
  <c r="C22" i="3"/>
  <c r="K5" i="7" s="1"/>
  <c r="C5" i="4"/>
  <c r="C9" i="4" s="1"/>
  <c r="C14" i="4" s="1"/>
  <c r="E19" i="3"/>
  <c r="E16" i="3"/>
  <c r="D7" i="7" s="1"/>
  <c r="J7" i="7" s="1"/>
  <c r="E14" i="3"/>
  <c r="D22" i="3" l="1"/>
  <c r="K6" i="7" s="1"/>
  <c r="D5" i="4"/>
  <c r="D9" i="4" s="1"/>
  <c r="D14" i="4" s="1"/>
  <c r="F6" i="7" s="1"/>
  <c r="G13" i="3"/>
  <c r="G10" i="3"/>
  <c r="I9" i="7" s="1"/>
  <c r="F16" i="3"/>
  <c r="D8" i="7" s="1"/>
  <c r="J8" i="7" s="1"/>
  <c r="F19" i="3"/>
  <c r="F14" i="3"/>
  <c r="C19" i="7"/>
  <c r="F5" i="7"/>
  <c r="H8" i="3"/>
  <c r="H9" i="3" s="1"/>
  <c r="H15" i="3"/>
  <c r="H6" i="4" s="1"/>
  <c r="H7" i="4"/>
  <c r="H11" i="3"/>
  <c r="H12" i="3"/>
  <c r="H11" i="4"/>
  <c r="H12" i="4" s="1"/>
  <c r="C10" i="7"/>
  <c r="E20" i="3"/>
  <c r="E21" i="3" s="1"/>
  <c r="C5" i="5" l="1"/>
  <c r="C7" i="5" s="1"/>
  <c r="C20" i="7"/>
  <c r="H13" i="3"/>
  <c r="H10" i="3"/>
  <c r="I10" i="7" s="1"/>
  <c r="E5" i="4"/>
  <c r="E9" i="4" s="1"/>
  <c r="E14" i="4" s="1"/>
  <c r="E7" i="7"/>
  <c r="E22" i="3"/>
  <c r="K7" i="7" s="1"/>
  <c r="F20" i="3"/>
  <c r="F21" i="3" s="1"/>
  <c r="G16" i="3"/>
  <c r="D9" i="7" s="1"/>
  <c r="J9" i="7" s="1"/>
  <c r="G19" i="3"/>
  <c r="G14" i="3"/>
  <c r="F7" i="7" l="1"/>
  <c r="D5" i="5"/>
  <c r="D7" i="5" s="1"/>
  <c r="C21" i="7"/>
  <c r="E8" i="7"/>
  <c r="F5" i="4"/>
  <c r="F9" i="4" s="1"/>
  <c r="F14" i="4" s="1"/>
  <c r="F22" i="3"/>
  <c r="K8" i="7" s="1"/>
  <c r="G20" i="3"/>
  <c r="G21" i="3" s="1"/>
  <c r="H19" i="3"/>
  <c r="H16" i="3"/>
  <c r="H14" i="3"/>
  <c r="D10" i="7" l="1"/>
  <c r="J10" i="7" s="1"/>
  <c r="C9" i="5"/>
  <c r="C10" i="5" s="1"/>
  <c r="E9" i="7"/>
  <c r="G5" i="4"/>
  <c r="G9" i="4" s="1"/>
  <c r="G14" i="4" s="1"/>
  <c r="G22" i="3"/>
  <c r="K9" i="7" s="1"/>
  <c r="H20" i="3"/>
  <c r="H21" i="3" s="1"/>
  <c r="E5" i="5"/>
  <c r="E7" i="5" s="1"/>
  <c r="C22" i="7"/>
  <c r="F8" i="7"/>
  <c r="C11" i="5" l="1"/>
  <c r="C18" i="5" s="1"/>
  <c r="C23" i="7"/>
  <c r="F5" i="5"/>
  <c r="F7" i="5" s="1"/>
  <c r="F9" i="7"/>
  <c r="E10" i="7"/>
  <c r="H5" i="4"/>
  <c r="H9" i="4" s="1"/>
  <c r="H14" i="4" s="1"/>
  <c r="I8" i="6" s="1"/>
  <c r="H22" i="3"/>
  <c r="K10" i="7" s="1"/>
  <c r="D8" i="6" l="1"/>
  <c r="J12" i="6"/>
  <c r="C14" i="6"/>
  <c r="E14" i="6"/>
  <c r="E13" i="6"/>
  <c r="F9" i="6"/>
  <c r="I14" i="6"/>
  <c r="E10" i="6"/>
  <c r="H12" i="6"/>
  <c r="F10" i="6"/>
  <c r="G11" i="6"/>
  <c r="I12" i="6"/>
  <c r="J13" i="6"/>
  <c r="G10" i="6"/>
  <c r="C10" i="6"/>
  <c r="E7" i="6"/>
  <c r="C24" i="7"/>
  <c r="F10" i="7"/>
  <c r="C12" i="5"/>
  <c r="C13" i="5" s="1"/>
  <c r="G5" i="5"/>
  <c r="G7" i="5" s="1"/>
  <c r="C17" i="5" s="1"/>
  <c r="C19" i="5" s="1"/>
  <c r="C21" i="5" s="1"/>
  <c r="C23" i="5" s="1"/>
  <c r="B32" i="8" s="1"/>
  <c r="F12" i="6"/>
  <c r="H14" i="6"/>
  <c r="E11" i="6"/>
  <c r="D10" i="6"/>
  <c r="I7" i="6"/>
  <c r="C11" i="6"/>
  <c r="F7" i="6"/>
  <c r="J11" i="6"/>
  <c r="J9" i="6"/>
  <c r="H7" i="6"/>
  <c r="I10" i="6"/>
  <c r="F8" i="6"/>
  <c r="G8" i="6"/>
  <c r="J14" i="6"/>
  <c r="J8" i="6"/>
  <c r="D7" i="6"/>
  <c r="I11" i="6"/>
  <c r="C13" i="6"/>
  <c r="H13" i="6"/>
  <c r="G9" i="6"/>
  <c r="F13" i="6"/>
  <c r="D14" i="6"/>
  <c r="G13" i="6"/>
  <c r="C12" i="6"/>
  <c r="H9" i="6"/>
  <c r="F14" i="6"/>
  <c r="C9" i="6"/>
  <c r="G12" i="6"/>
  <c r="D11" i="6"/>
  <c r="E8" i="6"/>
  <c r="I13" i="6"/>
  <c r="J10" i="6"/>
  <c r="I9" i="6"/>
  <c r="E9" i="6"/>
  <c r="C7" i="6"/>
  <c r="D13" i="6"/>
  <c r="G7" i="6"/>
  <c r="C8" i="6"/>
  <c r="H8" i="6"/>
  <c r="J7" i="6"/>
  <c r="E12" i="6"/>
  <c r="D9" i="6"/>
  <c r="G14" i="6"/>
  <c r="D12" i="6"/>
  <c r="F11" i="6"/>
  <c r="H10" i="6"/>
  <c r="H11" i="6"/>
  <c r="C25" i="5" l="1"/>
  <c r="F28" i="8"/>
  <c r="C42" i="8" s="1"/>
  <c r="D42" i="8" s="1"/>
  <c r="P28" i="8"/>
  <c r="C28" i="8"/>
  <c r="C41" i="8" s="1"/>
  <c r="D41" i="8" s="1"/>
  <c r="M28" i="8"/>
  <c r="C44" i="8" s="1"/>
  <c r="D44" i="8" s="1"/>
  <c r="I28" i="8"/>
  <c r="C43" i="8" s="1"/>
  <c r="D43" i="8" s="1"/>
  <c r="G41" i="8" l="1" a="1"/>
  <c r="G41" i="8" s="1"/>
  <c r="F42" i="8"/>
  <c r="F44" i="8"/>
  <c r="F43" i="8"/>
  <c r="F41"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<sst xmlns="http://schemas.openxmlformats.org/spreadsheetml/2006/main" count="287" uniqueCount="217">
  <si>
    <t>MICROSOFT CORPORATION
Equity Valuation &amp; Sensitivity Analysis
DCF Model | FY2024A – FY2029E</t>
  </si>
  <si>
    <t>Prepared: May 2026  |  Currency: USD Millions  |  Ticker: MSFT  |  Exchange: NASDAQ</t>
  </si>
  <si>
    <t>TABLE OF CONTENTS</t>
  </si>
  <si>
    <t>Tab</t>
  </si>
  <si>
    <t>Sheet Name</t>
  </si>
  <si>
    <t>Description</t>
  </si>
  <si>
    <t>1</t>
  </si>
  <si>
    <t>Assumptions</t>
  </si>
  <si>
    <t>Key inputs, growth rates, margins, valuation parameters</t>
  </si>
  <si>
    <t>2</t>
  </si>
  <si>
    <t>Income Statement</t>
  </si>
  <si>
    <t>5-year P&amp;L projection: Revenue → EBITDA → Net Income</t>
  </si>
  <si>
    <t>3</t>
  </si>
  <si>
    <t>Cash Flow Statement</t>
  </si>
  <si>
    <t>CFO, Capex, and Free Cash Flow to Firm (FCFF)</t>
  </si>
  <si>
    <t>4</t>
  </si>
  <si>
    <t>DCF Valuation</t>
  </si>
  <si>
    <t>Discounted FCFF + Terminal Value → Enterprise &amp; Equity Value</t>
  </si>
  <si>
    <t>5</t>
  </si>
  <si>
    <t>Sensitivity Analysis</t>
  </si>
  <si>
    <t>Three 2D heat-map tables: WACC × Multiple, Growth × WACC, COGS × Multiple</t>
  </si>
  <si>
    <t>6</t>
  </si>
  <si>
    <t>Charts &amp; Visualizations</t>
  </si>
  <si>
    <t>Revenue, EBITDA, margin progression, and FCFF trend charts</t>
  </si>
  <si>
    <t>7</t>
  </si>
  <si>
    <t>Tornado Analysis</t>
  </si>
  <si>
    <t>Ranked single-variable sensitivity and horizontal tornado chart</t>
  </si>
  <si>
    <t>BASE CASE KEY METRICS</t>
  </si>
  <si>
    <t>Metric</t>
  </si>
  <si>
    <t>Value</t>
  </si>
  <si>
    <t>Note</t>
  </si>
  <si>
    <t>FY2024 Revenue</t>
  </si>
  <si>
    <t>$245B</t>
  </si>
  <si>
    <t>Actual reported</t>
  </si>
  <si>
    <t>FY2029E Revenue (proj)</t>
  </si>
  <si>
    <t>~$430B</t>
  </si>
  <si>
    <t>at 12-16% CAGR</t>
  </si>
  <si>
    <t>Base WACC</t>
  </si>
  <si>
    <t>9.5%</t>
  </si>
  <si>
    <t>Blended cost of capital</t>
  </si>
  <si>
    <t>EV/EBITDA Exit</t>
  </si>
  <si>
    <t>28.0x</t>
  </si>
  <si>
    <t>In-line with tech peer median</t>
  </si>
  <si>
    <t>Tax Rate</t>
  </si>
  <si>
    <t>21.0%</t>
  </si>
  <si>
    <t>Effective blended rate</t>
  </si>
  <si>
    <t>Implied Share Price</t>
  </si>
  <si>
    <t>See DCF</t>
  </si>
  <si>
    <t>Varies by scenario</t>
  </si>
  <si>
    <t>DISCLAIMER: This model is for educational and analytical purposes only. All projections are estimates based on publicly available information and analyst consensus. This does not constitute investment advice. Past performance is not indicative of future results.</t>
  </si>
  <si>
    <t>MICROSOFT CORPORATION  |  EQUITY VALUATION MODEL</t>
  </si>
  <si>
    <t>Key Assumptions &amp; Input Dashboard  |  All figures in USD Millions unless stated</t>
  </si>
  <si>
    <t xml:space="preserve">  📋  COLOR LEGEND</t>
  </si>
  <si>
    <t>Blue text = Hardcoded input (edit these cells)</t>
  </si>
  <si>
    <t>Black text = Formula / calculated value</t>
  </si>
  <si>
    <t>Yellow background = Key assumption cell</t>
  </si>
  <si>
    <t xml:space="preserve">  📈  REVENUE GROWTH ASSUMPTIONS</t>
  </si>
  <si>
    <t>Assumption</t>
  </si>
  <si>
    <t>FY2025E</t>
  </si>
  <si>
    <t>FY2026E</t>
  </si>
  <si>
    <t>FY2027E</t>
  </si>
  <si>
    <t>FY2028E</t>
  </si>
  <si>
    <t>FY2029E</t>
  </si>
  <si>
    <t>Revenue Growth Rate</t>
  </si>
  <si>
    <t xml:space="preserve">  💰  MARGIN ASSUMPTIONS</t>
  </si>
  <si>
    <t>COGS as % of Revenue</t>
  </si>
  <si>
    <t>R&amp;D as % of Revenue</t>
  </si>
  <si>
    <t>SG&amp;A as % of Revenue</t>
  </si>
  <si>
    <t>D&amp;A as % of Revenue</t>
  </si>
  <si>
    <t>Capex as % of Revenue</t>
  </si>
  <si>
    <t>Change in NWC as % Rev Chg</t>
  </si>
  <si>
    <t xml:space="preserve">  🎯  VALUATION &amp; DCF ASSUMPTIONS</t>
  </si>
  <si>
    <t>Parameter</t>
  </si>
  <si>
    <t>Notes</t>
  </si>
  <si>
    <t>WACC / Discount Rate</t>
  </si>
  <si>
    <t>Weighted avg cost of capital</t>
  </si>
  <si>
    <t>Terminal Growth Rate</t>
  </si>
  <si>
    <t>Long-run nominal GDP growth</t>
  </si>
  <si>
    <t>EV / EBITDA Exit Multiple</t>
  </si>
  <si>
    <t>FY2029 exit multiple</t>
  </si>
  <si>
    <t>Shares Outstanding (mm)</t>
  </si>
  <si>
    <t>Diluted shares as of FY2024</t>
  </si>
  <si>
    <t>Net Debt / (Cash) ($mm)</t>
  </si>
  <si>
    <t>Negative = net cash</t>
  </si>
  <si>
    <t>MICROSOFT CORPORATION  |  INCOME STATEMENT  |  USD Millions</t>
  </si>
  <si>
    <t>FY2024A</t>
  </si>
  <si>
    <t>Actual</t>
  </si>
  <si>
    <t>Projected</t>
  </si>
  <si>
    <t xml:space="preserve">  REVENUE</t>
  </si>
  <si>
    <t>Revenue</t>
  </si>
  <si>
    <t xml:space="preserve">  COSTS</t>
  </si>
  <si>
    <t>Cost of Revenue (COGS)</t>
  </si>
  <si>
    <t>Gross Profit</t>
  </si>
  <si>
    <t xml:space="preserve">  Gross Margin %</t>
  </si>
  <si>
    <t>Research &amp; Development</t>
  </si>
  <si>
    <t>Selling, General &amp; Administrative</t>
  </si>
  <si>
    <t>Operating Income (EBIT)</t>
  </si>
  <si>
    <t xml:space="preserve">  EBIT Margin %</t>
  </si>
  <si>
    <t>Depreciation &amp; Amortization (add-back)</t>
  </si>
  <si>
    <t>EBITDA</t>
  </si>
  <si>
    <t xml:space="preserve">  BELOW THE LINE</t>
  </si>
  <si>
    <t>Interest Income &amp; Other, net</t>
  </si>
  <si>
    <t>Pre-Tax Income</t>
  </si>
  <si>
    <t>Income Tax Provision</t>
  </si>
  <si>
    <t>Net Income</t>
  </si>
  <si>
    <t xml:space="preserve">  Net Margin %</t>
  </si>
  <si>
    <t>MICROSOFT CORPORATION  |  CASH FLOW STATEMENT  |  USD Millions</t>
  </si>
  <si>
    <t xml:space="preserve">  OPERATING ACTIVITIES</t>
  </si>
  <si>
    <t xml:space="preserve">  (+) Depreciation &amp; Amortization</t>
  </si>
  <si>
    <t xml:space="preserve">  (-) Increase in Net Working Capital</t>
  </si>
  <si>
    <t xml:space="preserve">  (+) Other Operating Adjustments</t>
  </si>
  <si>
    <t>Cash from Operations</t>
  </si>
  <si>
    <t xml:space="preserve">  INVESTING ACTIVITIES</t>
  </si>
  <si>
    <t>Capital Expenditures</t>
  </si>
  <si>
    <t>Cash used in Investing (Capex only)</t>
  </si>
  <si>
    <t xml:space="preserve">  FREE CASH FLOW TO FIRM (FCFF)</t>
  </si>
  <si>
    <t>FCFF (Unlevered Free Cash Flow)</t>
  </si>
  <si>
    <t>MICROSOFT CORPORATION  |  DCF VALUATION  |  USD Millions</t>
  </si>
  <si>
    <t xml:space="preserve">  STEP 1: DISCOUNTED FREE CASH FLOWS</t>
  </si>
  <si>
    <t>Unlevered Free Cash Flow (FCFF)</t>
  </si>
  <si>
    <t xml:space="preserve">  Discount Factor  [1/(1+WACC)^t]</t>
  </si>
  <si>
    <t>PV of FCFF</t>
  </si>
  <si>
    <t xml:space="preserve">  STEP 2: TERMINAL VALUE (Dual Method)</t>
  </si>
  <si>
    <t>FY2029 EBITDA (terminal year)</t>
  </si>
  <si>
    <t>Terminal Value — EV/EBITDA Method</t>
  </si>
  <si>
    <t>PV of Terminal Value (EV/EBITDA)</t>
  </si>
  <si>
    <t>Terminal Value — Gordon Growth Crosscheck</t>
  </si>
  <si>
    <t>PV of Terminal Value (Gordon Growth)</t>
  </si>
  <si>
    <t xml:space="preserve">  STEP 3: EQUITY VALUE BRIDGE</t>
  </si>
  <si>
    <t>Sum of PV of FCFFs (FY25-FY29)</t>
  </si>
  <si>
    <t>(+) PV of Terminal Value (EV/EBITDA)</t>
  </si>
  <si>
    <t>Enterprise Value</t>
  </si>
  <si>
    <t>(-) Net Debt / (+) Net Cash</t>
  </si>
  <si>
    <t>Equity Value</t>
  </si>
  <si>
    <t>Diluted Shares Outstanding (mm)</t>
  </si>
  <si>
    <t>★  IMPLIED SHARE PRICE  ★</t>
  </si>
  <si>
    <t>Current Market Price (for reference)</t>
  </si>
  <si>
    <t>Implied Upside / (Downside)</t>
  </si>
  <si>
    <t>MICROSOFT CORPORATION  |  SENSITIVITY ANALYSIS  |  Implied Share Price ($)</t>
  </si>
  <si>
    <t>Each table shows implied share price as two key drivers vary simultaneously — holding all other assumptions at base case</t>
  </si>
  <si>
    <t xml:space="preserve">  TABLE 1: Share Price Sensitivity — WACC vs. EV/EBITDA Multiple</t>
  </si>
  <si>
    <t>WACC  ↓  /  EV/EBITDA  →</t>
  </si>
  <si>
    <t>20x</t>
  </si>
  <si>
    <t>22x</t>
  </si>
  <si>
    <t>24x</t>
  </si>
  <si>
    <t>26x</t>
  </si>
  <si>
    <t>28x</t>
  </si>
  <si>
    <t>30x</t>
  </si>
  <si>
    <t>32x</t>
  </si>
  <si>
    <t>34x</t>
  </si>
  <si>
    <t>7.5%</t>
  </si>
  <si>
    <t>8.0%</t>
  </si>
  <si>
    <t>8.5%</t>
  </si>
  <si>
    <t>9.0%</t>
  </si>
  <si>
    <t>10.0%</t>
  </si>
  <si>
    <t>10.5%</t>
  </si>
  <si>
    <t>11.0%</t>
  </si>
  <si>
    <t xml:space="preserve">  TABLE 2: Share Price Sensitivity — Revenue Growth Rate vs. WACC</t>
  </si>
  <si>
    <t>Rev Growth ↓ / WACC →</t>
  </si>
  <si>
    <t>8%</t>
  </si>
  <si>
    <t>10%</t>
  </si>
  <si>
    <t>12%</t>
  </si>
  <si>
    <t>14%</t>
  </si>
  <si>
    <t>15%</t>
  </si>
  <si>
    <t>16%</t>
  </si>
  <si>
    <t>18%</t>
  </si>
  <si>
    <t>20%</t>
  </si>
  <si>
    <t xml:space="preserve">  TABLE 3: Share Price Sensitivity — COGS % of Revenue vs. EV/EBITDA Multiple</t>
  </si>
  <si>
    <t>COGS %  ↓  /  EV/EBITDA  →</t>
  </si>
  <si>
    <t>28%</t>
  </si>
  <si>
    <t>30%</t>
  </si>
  <si>
    <t>31%</t>
  </si>
  <si>
    <t>32%</t>
  </si>
  <si>
    <t>33%</t>
  </si>
  <si>
    <t>34%</t>
  </si>
  <si>
    <t>35%</t>
  </si>
  <si>
    <t>37%</t>
  </si>
  <si>
    <t>🔴 Low share price   🟡 Mid-range   🟢 High share price   ⬛ = Base case (amber highlight)</t>
  </si>
  <si>
    <t>MICROSOFT CORPORATION  |  CHARTS &amp; VISUAL ANALYTICS</t>
  </si>
  <si>
    <t>Year</t>
  </si>
  <si>
    <t>Revenue ($M)</t>
  </si>
  <si>
    <t>EBITDA ($M)</t>
  </si>
  <si>
    <t>Net Income ($M)</t>
  </si>
  <si>
    <t>FCFF ($M)</t>
  </si>
  <si>
    <t>Gross Margin %</t>
  </si>
  <si>
    <t>EBITDA Margin %</t>
  </si>
  <si>
    <t>Net Margin %</t>
  </si>
  <si>
    <t>2024</t>
  </si>
  <si>
    <t>2025</t>
  </si>
  <si>
    <t>2026</t>
  </si>
  <si>
    <t>2027</t>
  </si>
  <si>
    <t>2028</t>
  </si>
  <si>
    <t>2029</t>
  </si>
  <si>
    <t>MICROSOFT CORPORATION  |  TORNADO SENSITIVITY CHART  |  Impact on Share Price</t>
  </si>
  <si>
    <t>Shows the range of implied share price when each driver is stressed ±1 standard deviation from base case. Wider bars = greater sensitivity.</t>
  </si>
  <si>
    <t>Driver</t>
  </si>
  <si>
    <t>Bear Case Input</t>
  </si>
  <si>
    <t>Bear SP ($)</t>
  </si>
  <si>
    <t>Base SP ($)</t>
  </si>
  <si>
    <t>Bull SP ($)</t>
  </si>
  <si>
    <t>Bull Case Input</t>
  </si>
  <si>
    <t>SP Range ($)</t>
  </si>
  <si>
    <t>20.0%</t>
  </si>
  <si>
    <t>EV/EBITDA Multiple</t>
  </si>
  <si>
    <t>COGS % of Revenue</t>
  </si>
  <si>
    <t>37.0%</t>
  </si>
  <si>
    <t>28.0%</t>
  </si>
  <si>
    <t>WACC</t>
  </si>
  <si>
    <t>1.5%</t>
  </si>
  <si>
    <t>4.0%</t>
  </si>
  <si>
    <t>Revenue Growth rate +/- 5%</t>
  </si>
  <si>
    <t>COGS +/-5%</t>
  </si>
  <si>
    <t>EV/EBITDA +/1</t>
  </si>
  <si>
    <t>WACC +/- 1%</t>
  </si>
  <si>
    <t>Terminal Growth Rate +/2%</t>
  </si>
  <si>
    <t>Pos</t>
  </si>
  <si>
    <t>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</si>
</sst>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x"/>
    <numFmt numFmtId="166" formatCode="#,##0;\(#,##0\);\-"/>
    <numFmt numFmtId="167" formatCode="0.0000"/>
    <numFmt numFmtId="168" formatCode="\$#,##0.00"/>
    <numFmt numFmtId="173" formatCode="0.0%"/>
  </numFmts>
  <fonts count="26" x14ac:knownFonts="1">
    <font>
      <sz val="11"/>
      <color theme="1"/>
      <name val="Calibri"/>
      <family val="2"/>
      <charset val="1"/>
    </font>
    <font>
      <b/>
      <sz val="20"/>
      <color rgb="FFFFFFFF"/>
      <name val="Arial"/>
      <charset val="1"/>
    </font>
    <font>
      <i/>
      <sz val="10"/>
      <color rgb="FFFFFFFF"/>
      <name val="Arial"/>
      <charset val="1"/>
    </font>
    <font>
      <b/>
      <sz val="13"/>
      <color rgb="FF1F3864"/>
      <name val="Arial"/>
      <charset val="1"/>
    </font>
    <font>
      <b/>
      <sz val="10"/>
      <color rgb="FFFFFFFF"/>
      <name val="Arial"/>
      <charset val="1"/>
    </font>
    <font>
      <b/>
      <sz val="11"/>
      <name val="Arial"/>
      <charset val="1"/>
    </font>
    <font>
      <sz val="9"/>
      <color rgb="FF595959"/>
      <name val="Arial"/>
      <charset val="1"/>
    </font>
    <font>
      <b/>
      <sz val="11"/>
      <color rgb="FF1F3864"/>
      <name val="Arial"/>
      <charset val="1"/>
    </font>
    <font>
      <i/>
      <sz val="9"/>
      <color rgb="FF595959"/>
      <name val="Arial"/>
      <charset val="1"/>
    </font>
    <font>
      <i/>
      <sz val="8"/>
      <color rgb="FF595959"/>
      <name val="Arial"/>
      <charset val="1"/>
    </font>
    <font>
      <b/>
      <sz val="16"/>
      <color rgb="FFFFFFFF"/>
      <name val="Arial"/>
      <charset val="1"/>
    </font>
    <font>
      <i/>
      <sz val="10"/>
      <color rgb="FF595959"/>
      <name val="Arial"/>
      <charset val="1"/>
    </font>
    <font>
      <b/>
      <sz val="11"/>
      <color rgb="FFFFFFFF"/>
      <name val="Arial"/>
      <charset val="1"/>
    </font>
    <font>
      <sz val="9"/>
      <color rgb="FF0000FF"/>
      <name val="Arial"/>
      <charset val="1"/>
    </font>
    <font>
      <sz val="9"/>
      <color rgb="FF000000"/>
      <name val="Arial"/>
      <charset val="1"/>
    </font>
    <font>
      <b/>
      <sz val="10"/>
      <color rgb="FF000000"/>
      <name val="Arial"/>
      <charset val="1"/>
    </font>
    <font>
      <sz val="11"/>
      <color rgb="FF0000FF"/>
      <name val="Arial"/>
      <charset val="1"/>
    </font>
    <font>
      <sz val="10"/>
      <color rgb="FF000000"/>
      <name val="Arial"/>
      <charset val="1"/>
    </font>
    <font>
      <b/>
      <sz val="14"/>
      <color rgb="FFFFFFFF"/>
      <name val="Arial"/>
      <charset val="1"/>
    </font>
    <font>
      <sz val="11"/>
      <color rgb="FF000000"/>
      <name val="Arial"/>
      <charset val="1"/>
    </font>
    <font>
      <i/>
      <sz val="11"/>
      <color rgb="FF595959"/>
      <name val="Arial"/>
      <charset val="1"/>
    </font>
    <font>
      <sz val="11"/>
      <color rgb="FF008000"/>
      <name val="Arial"/>
      <charset val="1"/>
    </font>
    <font>
      <b/>
      <sz val="12"/>
      <color rgb="FF000000"/>
      <name val="Arial"/>
      <charset val="1"/>
    </font>
    <font>
      <b/>
      <sz val="9"/>
      <color rgb="FFFFFFFF"/>
      <name val="Arial"/>
      <charset val="1"/>
    </font>
    <font>
      <sz val="9"/>
      <name val="Arial"/>
      <charset val="1"/>
    </font>
    <font>
      <b/>
      <sz val="11"/>
      <name val="Cambria"/>
      <charset val="1"/>
    </font>
  </fonts>
  <fills count="17">
    <fill>
      <patternFill patternType="none"/>
    </fill>
    <fill>
      <patternFill patternType="gray125"/>
    </fill>
    <fill>
      <patternFill patternType="solid">
        <fgColor rgb="FF1F3864"/>
        <bgColor rgb="FF2F5496"/>
      </patternFill>
    </fill>
    <fill>
      <patternFill patternType="solid">
        <fgColor rgb="FF2F5496"/>
        <bgColor rgb="FF1F3864"/>
      </patternFill>
    </fill>
    <fill>
      <patternFill patternType="solid">
        <fgColor rgb="FFF2F2F2"/>
        <bgColor rgb="FFF9F9F9"/>
      </patternFill>
    </fill>
    <fill>
      <patternFill patternType="solid">
        <fgColor rgb="FF4472C4"/>
        <bgColor rgb="FF2F5496"/>
      </patternFill>
    </fill>
    <fill>
      <patternFill patternType="solid">
        <fgColor rgb="FFD9D9D9"/>
        <bgColor rgb="FFD6E4F0"/>
      </patternFill>
    </fill>
    <fill>
      <patternFill patternType="solid">
        <fgColor rgb="FF595959"/>
        <bgColor rgb="FF375623"/>
      </patternFill>
    </fill>
    <fill>
      <patternFill patternType="solid">
        <fgColor rgb="FFFFF2CC"/>
        <bgColor rgb="FFF2F2F2"/>
      </patternFill>
    </fill>
    <fill>
      <patternFill patternType="solid">
        <fgColor rgb="FFD6E4F0"/>
        <bgColor rgb="FFD9D9D9"/>
      </patternFill>
    </fill>
    <fill>
      <patternFill patternType="solid">
        <fgColor rgb="FFE2EFDA"/>
        <bgColor rgb="FFF2F2F2"/>
      </patternFill>
    </fill>
    <fill>
      <patternFill patternType="solid">
        <fgColor rgb="FFFF8C00"/>
        <bgColor rgb="FFFF6600"/>
      </patternFill>
    </fill>
    <fill>
      <patternFill patternType="solid">
        <fgColor rgb="FFFFDCE1"/>
        <bgColor rgb="FFFFF2CC"/>
      </patternFill>
    </fill>
    <fill>
      <patternFill patternType="solid">
        <fgColor rgb="FFFFFF00"/>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4"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s>
  <cellStyleXfs count="1">
    <xf numFmtId="0" fontId="0" fillId="0" borderId="0"/>
  </cellStyleXfs>
  <cellXfs count="82">
    <xf numFmtId="0" fontId="0" fillId="0" borderId="0" xfId="0"/>
    <xf numFmtId="0" fontId="8" fillId="0" borderId="0" xfId="0" applyFont="1"/>
    <xf numFmtId="0" fontId="4" fillId="5" borderId="1" xfId="0" applyFont="1" applyFill="1" applyBorder="1" applyAlignment="1">
      <alignment horizontal="center" vertical="center"/>
    </xf>
    <xf numFmtId="0" fontId="3" fillId="0" borderId="0" xfId="0" applyFont="1"/>
    <xf numFmtId="0" fontId="4" fillId="3" borderId="1" xfId="0" applyFont="1" applyFill="1" applyBorder="1" applyAlignment="1">
      <alignment horizontal="center" vertical="center"/>
    </xf>
    <xf numFmtId="0" fontId="0" fillId="4" borderId="0" xfId="0" applyFill="1" applyAlignment="1">
      <alignment horizontal="center" vertical="center"/>
    </xf>
    <xf numFmtId="0" fontId="5" fillId="4" borderId="0" xfId="0" applyFont="1" applyFill="1"/>
    <xf numFmtId="0" fontId="6" fillId="4" borderId="0" xfId="0" applyFont="1" applyFill="1"/>
    <xf numFmtId="0" fontId="0" fillId="0" borderId="0" xfId="0" applyAlignment="1">
      <alignment horizontal="center" vertical="center"/>
    </xf>
    <xf numFmtId="0" fontId="5" fillId="0" borderId="0" xfId="0" applyFont="1"/>
    <xf numFmtId="0" fontId="6" fillId="0" borderId="0" xfId="0" applyFont="1"/>
    <xf numFmtId="0" fontId="7" fillId="0" borderId="0" xfId="0" applyFont="1"/>
    <xf numFmtId="0" fontId="0" fillId="4" borderId="0" xfId="0" applyFill="1"/>
    <xf numFmtId="0" fontId="7" fillId="4" borderId="0" xfId="0" applyFont="1" applyFill="1"/>
    <xf numFmtId="0" fontId="8" fillId="4" borderId="0" xfId="0" applyFont="1" applyFill="1"/>
    <xf numFmtId="0" fontId="15" fillId="0" borderId="0" xfId="0" applyFont="1" applyAlignment="1">
      <alignment horizontal="left" vertical="center"/>
    </xf>
    <xf numFmtId="164" fontId="16" fillId="8" borderId="0" xfId="0" applyNumberFormat="1" applyFont="1" applyFill="1" applyAlignment="1">
      <alignment horizontal="center" vertical="center"/>
    </xf>
    <xf numFmtId="0" fontId="17" fillId="0" borderId="0" xfId="0" applyFont="1" applyAlignment="1">
      <alignment horizontal="left" vertical="center"/>
    </xf>
    <xf numFmtId="165" fontId="16" fillId="8" borderId="0" xfId="0" applyNumberFormat="1" applyFont="1" applyFill="1" applyAlignment="1">
      <alignment horizontal="center" vertical="center"/>
    </xf>
    <xf numFmtId="166" fontId="16" fillId="8" borderId="0" xfId="0" applyNumberFormat="1" applyFont="1" applyFill="1" applyAlignment="1">
      <alignment horizontal="center" vertical="center"/>
    </xf>
    <xf numFmtId="0" fontId="9" fillId="0" borderId="0" xfId="0" applyFont="1" applyAlignment="1">
      <alignment horizontal="center" vertical="center"/>
    </xf>
    <xf numFmtId="166" fontId="16" fillId="0" borderId="0" xfId="0" applyNumberFormat="1" applyFont="1"/>
    <xf numFmtId="166" fontId="19" fillId="0" borderId="0" xfId="0" applyNumberFormat="1" applyFont="1"/>
    <xf numFmtId="166" fontId="0" fillId="0" borderId="0" xfId="0" applyNumberFormat="1"/>
    <xf numFmtId="166" fontId="5" fillId="0" borderId="2" xfId="0" applyNumberFormat="1" applyFont="1" applyBorder="1"/>
    <xf numFmtId="0" fontId="11" fillId="0" borderId="0" xfId="0" applyFont="1" applyAlignment="1">
      <alignment horizontal="left" vertical="center"/>
    </xf>
    <xf numFmtId="164" fontId="20" fillId="0" borderId="0" xfId="0" applyNumberFormat="1" applyFont="1" applyAlignment="1">
      <alignment horizontal="center" vertical="center"/>
    </xf>
    <xf numFmtId="166" fontId="5" fillId="9" borderId="2" xfId="0" applyNumberFormat="1" applyFont="1" applyFill="1" applyBorder="1"/>
    <xf numFmtId="166" fontId="5" fillId="10" borderId="2" xfId="0" applyNumberFormat="1" applyFont="1" applyFill="1" applyBorder="1"/>
    <xf numFmtId="166" fontId="5" fillId="0" borderId="0" xfId="0" applyNumberFormat="1" applyFont="1"/>
    <xf numFmtId="166" fontId="21" fillId="0" borderId="0" xfId="0" applyNumberFormat="1" applyFont="1"/>
    <xf numFmtId="167" fontId="20" fillId="0" borderId="0" xfId="0" applyNumberFormat="1" applyFont="1" applyAlignment="1">
      <alignment horizontal="center" vertical="center"/>
    </xf>
    <xf numFmtId="166" fontId="5" fillId="9" borderId="0" xfId="0" applyNumberFormat="1" applyFont="1" applyFill="1"/>
    <xf numFmtId="166" fontId="5" fillId="10" borderId="0" xfId="0" applyNumberFormat="1" applyFont="1" applyFill="1"/>
    <xf numFmtId="166" fontId="20" fillId="0" borderId="0" xfId="0" applyNumberFormat="1" applyFont="1"/>
    <xf numFmtId="166" fontId="5" fillId="8" borderId="2" xfId="0" applyNumberFormat="1" applyFont="1" applyFill="1" applyBorder="1"/>
    <xf numFmtId="3" fontId="0" fillId="0" borderId="0" xfId="0" applyNumberFormat="1"/>
    <xf numFmtId="0" fontId="22" fillId="0" borderId="0" xfId="0" applyFont="1" applyAlignment="1">
      <alignment horizontal="left" vertical="center"/>
    </xf>
    <xf numFmtId="168" fontId="18" fillId="2" borderId="0" xfId="0" applyNumberFormat="1" applyFont="1" applyFill="1" applyAlignment="1">
      <alignment horizontal="center" vertical="center"/>
    </xf>
    <xf numFmtId="168" fontId="16" fillId="0" borderId="0" xfId="0" applyNumberFormat="1" applyFont="1"/>
    <xf numFmtId="164" fontId="20" fillId="0" borderId="0" xfId="0" applyNumberFormat="1" applyFont="1"/>
    <xf numFmtId="0" fontId="23" fillId="3" borderId="0" xfId="0" applyFont="1" applyFill="1" applyAlignment="1">
      <alignment horizontal="center" vertical="center"/>
    </xf>
    <xf numFmtId="0" fontId="12" fillId="5" borderId="0" xfId="0" applyFont="1" applyFill="1" applyAlignment="1">
      <alignment horizontal="center" vertical="center"/>
    </xf>
    <xf numFmtId="168" fontId="24" fillId="0" borderId="0" xfId="0" applyNumberFormat="1" applyFont="1" applyAlignment="1">
      <alignment horizontal="center" vertical="center"/>
    </xf>
    <xf numFmtId="168" fontId="12" fillId="11" borderId="0" xfId="0" applyNumberFormat="1" applyFont="1" applyFill="1" applyAlignment="1">
      <alignment horizontal="center" vertical="center"/>
    </xf>
    <xf numFmtId="0" fontId="25" fillId="0" borderId="0" xfId="0" applyFont="1"/>
    <xf numFmtId="164" fontId="0" fillId="0" borderId="0" xfId="0" applyNumberFormat="1"/>
    <xf numFmtId="168" fontId="0" fillId="12" borderId="0" xfId="0" applyNumberFormat="1" applyFill="1" applyAlignment="1">
      <alignment horizontal="center" vertical="center"/>
    </xf>
    <xf numFmtId="168" fontId="5" fillId="8" borderId="0" xfId="0" applyNumberFormat="1" applyFont="1" applyFill="1" applyAlignment="1">
      <alignment horizontal="center" vertical="center"/>
    </xf>
    <xf numFmtId="168" fontId="0" fillId="10" borderId="0" xfId="0" applyNumberFormat="1" applyFill="1" applyAlignment="1">
      <alignment horizontal="center" vertical="center"/>
    </xf>
    <xf numFmtId="168" fontId="5" fillId="0" borderId="0" xfId="0" applyNumberFormat="1" applyFont="1" applyAlignment="1">
      <alignment horizontal="center" vertical="center"/>
    </xf>
    <xf numFmtId="168" fontId="0" fillId="0" borderId="0" xfId="0" applyNumberFormat="1"/>
    <xf numFmtId="0" fontId="18" fillId="2" borderId="0" xfId="0" applyFont="1" applyFill="1" applyAlignment="1">
      <alignment horizontal="center" vertical="center"/>
    </xf>
    <xf numFmtId="0" fontId="12" fillId="3" borderId="0" xfId="0" applyFont="1" applyFill="1" applyAlignment="1">
      <alignment horizontal="left" vertical="center"/>
    </xf>
    <xf numFmtId="0" fontId="12" fillId="5" borderId="0" xfId="0" applyFont="1" applyFill="1" applyAlignment="1">
      <alignment horizontal="left" vertical="center"/>
    </xf>
    <xf numFmtId="0" fontId="0" fillId="0" borderId="0" xfId="0"/>
    <xf numFmtId="0" fontId="2" fillId="3" borderId="0" xfId="0" applyFont="1" applyFill="1" applyAlignment="1">
      <alignment horizontal="center" vertical="center"/>
    </xf>
    <xf numFmtId="0" fontId="9" fillId="6" borderId="0" xfId="0" applyFont="1" applyFill="1" applyAlignment="1">
      <alignment horizontal="center" vertical="center" wrapText="1"/>
    </xf>
    <xf numFmtId="0" fontId="1" fillId="2" borderId="0" xfId="0" applyFont="1" applyFill="1" applyAlignment="1">
      <alignment horizontal="center" vertical="center" wrapText="1"/>
    </xf>
    <xf numFmtId="0" fontId="8" fillId="0" borderId="0" xfId="0" applyFont="1"/>
    <xf numFmtId="0" fontId="14" fillId="8" borderId="0" xfId="0" applyFont="1" applyFill="1"/>
    <xf numFmtId="0" fontId="4" fillId="5" borderId="1" xfId="0" applyFont="1" applyFill="1" applyBorder="1" applyAlignment="1">
      <alignment horizontal="center" vertical="center"/>
    </xf>
    <xf numFmtId="0" fontId="10" fillId="2" borderId="0" xfId="0" applyFont="1" applyFill="1" applyAlignment="1">
      <alignment horizontal="center" vertical="center"/>
    </xf>
    <xf numFmtId="0" fontId="11" fillId="4" borderId="0" xfId="0" applyFont="1" applyFill="1" applyAlignment="1">
      <alignment horizontal="center" vertical="center"/>
    </xf>
    <xf numFmtId="0" fontId="12" fillId="7" borderId="0" xfId="0" applyFont="1" applyFill="1" applyAlignment="1">
      <alignment horizontal="left" vertical="center"/>
    </xf>
    <xf numFmtId="0" fontId="13" fillId="0" borderId="0" xfId="0" applyFont="1"/>
    <xf numFmtId="0" fontId="14" fillId="0" borderId="0" xfId="0" applyFont="1"/>
    <xf numFmtId="0" fontId="8" fillId="4" borderId="0" xfId="0" applyFont="1" applyFill="1" applyAlignment="1">
      <alignment horizontal="center" vertical="center"/>
    </xf>
    <xf numFmtId="9" fontId="0" fillId="0" borderId="0" xfId="0" applyNumberFormat="1"/>
    <xf numFmtId="2" fontId="0" fillId="0" borderId="0" xfId="0" applyNumberFormat="1"/>
    <xf numFmtId="10" fontId="0" fillId="0" borderId="0" xfId="0" applyNumberFormat="1"/>
    <xf numFmtId="9" fontId="0" fillId="13" borderId="0" xfId="0" applyNumberFormat="1" applyFill="1"/>
    <xf numFmtId="173" fontId="0" fillId="0" borderId="0" xfId="0" applyNumberFormat="1"/>
    <xf numFmtId="0" fontId="0" fillId="0" borderId="3" xfId="0" applyBorder="1"/>
    <xf numFmtId="0" fontId="0" fillId="0" borderId="0" xfId="0" applyBorder="1"/>
    <xf numFmtId="0" fontId="0" fillId="0" borderId="4" xfId="0" applyBorder="1"/>
    <xf numFmtId="0" fontId="0" fillId="0" borderId="5" xfId="0" applyBorder="1"/>
    <xf numFmtId="0" fontId="0" fillId="14" borderId="0" xfId="0" applyFill="1" applyBorder="1"/>
    <xf numFmtId="0" fontId="0" fillId="15" borderId="0" xfId="0" applyFill="1" applyBorder="1"/>
    <xf numFmtId="0" fontId="0" fillId="16" borderId="0" xfId="0" applyFill="1" applyAlignment="1">
      <alignment horizontal="center"/>
    </xf>
    <xf numFmtId="9" fontId="0" fillId="0" borderId="6" xfId="0" applyNumberFormat="1" applyBorder="1"/>
    <xf numFmtId="0" fontId="0" fillId="0" borderId="6"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D6E4F0"/>
      <rgbColor rgb="FF660066"/>
      <rgbColor rgb="FFF8696B"/>
      <rgbColor rgb="FF0066CC"/>
      <rgbColor rgb="FFD9D9D9"/>
      <rgbColor rgb="FF000080"/>
      <rgbColor rgb="FFFF00FF"/>
      <rgbColor rgb="FFFFFF00"/>
      <rgbColor rgb="FF00FFFF"/>
      <rgbColor rgb="FF800080"/>
      <rgbColor rgb="FF800000"/>
      <rgbColor rgb="FF008080"/>
      <rgbColor rgb="FF0000FF"/>
      <rgbColor rgb="FF00B0F0"/>
      <rgbColor rgb="FFF2F2F2"/>
      <rgbColor rgb="FFE2EFDA"/>
      <rgbColor rgb="FFF9F9F9"/>
      <rgbColor rgb="FF99CCFF"/>
      <rgbColor rgb="FFFF99CC"/>
      <rgbColor rgb="FFCC99FF"/>
      <rgbColor rgb="FFFFDCE1"/>
      <rgbColor rgb="FF4472C4"/>
      <rgbColor rgb="FF63BE7B"/>
      <rgbColor rgb="FF99CC00"/>
      <rgbColor rgb="FFFFCC00"/>
      <rgbColor rgb="FFFF8C00"/>
      <rgbColor rgb="FFFF6600"/>
      <rgbColor rgb="FF595959"/>
      <rgbColor rgb="FF969696"/>
      <rgbColor rgb="FF1F3864"/>
      <rgbColor rgb="FF339966"/>
      <rgbColor rgb="FF003300"/>
      <rgbColor rgb="FF333300"/>
      <rgbColor rgb="FF9933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vs EBITDA (FY2024-FY2029)</a:t>
            </a:r>
          </a:p>
        </c:rich>
      </c:tx>
      <c:overlay val="0"/>
      <c:spPr>
        <a:noFill/>
        <a:ln w="0">
          <a:noFill/>
        </a:ln>
      </c:spPr>
    </c:title>
    <c:autoTitleDeleted val="0"/>
    <c:plotArea>
      <c:layout>
        <c:manualLayout>
          <c:layoutTarget val="inner"/>
          <c:xMode val="edge"/>
          <c:yMode val="edge"/>
          <c:x val="0.2794623696488629"/>
          <c:y val="0.30552418396193992"/>
          <c:w val="0.50388238544863195"/>
          <c:h val="0.43550999820095854"/>
        </c:manualLayout>
      </c:layout>
      <c:barChart>
        <c:barDir val="col"/>
        <c:grouping val="clustered"/>
        <c:varyColors val="0"/>
        <c:ser>
          <c:idx val="0"/>
          <c:order val="0"/>
          <c:tx>
            <c:strRef>
              <c:f>'Charts &amp; Visualizations'!$C$4</c:f>
              <c:strCache>
                <c:ptCount val="1"/>
                <c:pt idx="0">
                  <c:v>Revenue ($M)</c:v>
                </c:pt>
              </c:strCache>
            </c:strRef>
          </c:tx>
          <c:spPr>
            <a:solidFill>
              <a:srgbClr val="1F386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Visualizations'!$B$5:$B$10</c:f>
              <c:strCache>
                <c:ptCount val="6"/>
                <c:pt idx="0">
                  <c:v>2024</c:v>
                </c:pt>
                <c:pt idx="1">
                  <c:v>2025</c:v>
                </c:pt>
                <c:pt idx="2">
                  <c:v>2026</c:v>
                </c:pt>
                <c:pt idx="3">
                  <c:v>2027</c:v>
                </c:pt>
                <c:pt idx="4">
                  <c:v>2028</c:v>
                </c:pt>
                <c:pt idx="5">
                  <c:v>2029</c:v>
                </c:pt>
              </c:strCache>
            </c:strRef>
          </c:cat>
          <c:val>
            <c:numRef>
              <c:f>'Charts &amp; Visualizations'!$C$5:$C$10</c:f>
              <c:numCache>
                <c:formatCode>#,##0;\(#,##0\);\-</c:formatCode>
                <c:ptCount val="6"/>
                <c:pt idx="0">
                  <c:v>245122</c:v>
                </c:pt>
                <c:pt idx="1">
                  <c:v>281890.3</c:v>
                </c:pt>
                <c:pt idx="2">
                  <c:v>326992.74799999996</c:v>
                </c:pt>
                <c:pt idx="3">
                  <c:v>372771.73271999991</c:v>
                </c:pt>
                <c:pt idx="4">
                  <c:v>421232.05797359988</c:v>
                </c:pt>
                <c:pt idx="5">
                  <c:v>471779.90493043192</c:v>
                </c:pt>
              </c:numCache>
            </c:numRef>
          </c:val>
          <c:extLst>
            <c:ext xmlns:c16="http://schemas.microsoft.com/office/drawing/2014/chart" uri="{C3380CC4-5D6E-409C-BE32-E72D297353CC}">
              <c16:uniqueId val="{00000000-B5D0-4D3B-8E75-477FC0F2AE3F}"/>
            </c:ext>
          </c:extLst>
        </c:ser>
        <c:ser>
          <c:idx val="1"/>
          <c:order val="1"/>
          <c:tx>
            <c:strRef>
              <c:f>'Charts &amp; Visualizations'!$D$4</c:f>
              <c:strCache>
                <c:ptCount val="1"/>
                <c:pt idx="0">
                  <c:v>EBITDA ($M)</c:v>
                </c:pt>
              </c:strCache>
            </c:strRef>
          </c:tx>
          <c:spPr>
            <a:solidFill>
              <a:srgbClr val="4472C4"/>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Visualizations'!$B$5:$B$10</c:f>
              <c:strCache>
                <c:ptCount val="6"/>
                <c:pt idx="0">
                  <c:v>2024</c:v>
                </c:pt>
                <c:pt idx="1">
                  <c:v>2025</c:v>
                </c:pt>
                <c:pt idx="2">
                  <c:v>2026</c:v>
                </c:pt>
                <c:pt idx="3">
                  <c:v>2027</c:v>
                </c:pt>
                <c:pt idx="4">
                  <c:v>2028</c:v>
                </c:pt>
                <c:pt idx="5">
                  <c:v>2029</c:v>
                </c:pt>
              </c:strCache>
            </c:strRef>
          </c:cat>
          <c:val>
            <c:numRef>
              <c:f>'Charts &amp; Visualizations'!$D$5:$D$10</c:f>
              <c:numCache>
                <c:formatCode>#,##0;\(#,##0\);\-</c:formatCode>
                <c:ptCount val="6"/>
                <c:pt idx="0">
                  <c:v>279136</c:v>
                </c:pt>
                <c:pt idx="1">
                  <c:v>147146.7366</c:v>
                </c:pt>
                <c:pt idx="2">
                  <c:v>174287.13468399999</c:v>
                </c:pt>
                <c:pt idx="3">
                  <c:v>202415.05086695994</c:v>
                </c:pt>
                <c:pt idx="4">
                  <c:v>232520.09600142713</c:v>
                </c:pt>
                <c:pt idx="5">
                  <c:v>265140.30657090276</c:v>
                </c:pt>
              </c:numCache>
            </c:numRef>
          </c:val>
          <c:extLst>
            <c:ext xmlns:c16="http://schemas.microsoft.com/office/drawing/2014/chart" uri="{C3380CC4-5D6E-409C-BE32-E72D297353CC}">
              <c16:uniqueId val="{00000001-B5D0-4D3B-8E75-477FC0F2AE3F}"/>
            </c:ext>
          </c:extLst>
        </c:ser>
        <c:ser>
          <c:idx val="2"/>
          <c:order val="2"/>
          <c:tx>
            <c:strRef>
              <c:f>'Charts &amp; Visualizations'!$E$4</c:f>
              <c:strCache>
                <c:ptCount val="1"/>
                <c:pt idx="0">
                  <c:v>Net Income ($M)</c:v>
                </c:pt>
              </c:strCache>
            </c:strRef>
          </c:tx>
          <c:spPr>
            <a:solidFill>
              <a:srgbClr val="00B0F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Visualizations'!$B$5:$B$10</c:f>
              <c:strCache>
                <c:ptCount val="6"/>
                <c:pt idx="0">
                  <c:v>2024</c:v>
                </c:pt>
                <c:pt idx="1">
                  <c:v>2025</c:v>
                </c:pt>
                <c:pt idx="2">
                  <c:v>2026</c:v>
                </c:pt>
                <c:pt idx="3">
                  <c:v>2027</c:v>
                </c:pt>
                <c:pt idx="4">
                  <c:v>2028</c:v>
                </c:pt>
                <c:pt idx="5">
                  <c:v>2029</c:v>
                </c:pt>
              </c:strCache>
            </c:strRef>
          </c:cat>
          <c:val>
            <c:numRef>
              <c:f>'Charts &amp; Visualizations'!$E$5:$E$10</c:f>
              <c:numCache>
                <c:formatCode>#,##0;\(#,##0\);\-</c:formatCode>
                <c:ptCount val="6"/>
                <c:pt idx="0">
                  <c:v>212145.81</c:v>
                </c:pt>
                <c:pt idx="1">
                  <c:v>107430.86838999999</c:v>
                </c:pt>
                <c:pt idx="2">
                  <c:v>126760.65004159999</c:v>
                </c:pt>
                <c:pt idx="3">
                  <c:v>146770.44806706315</c:v>
                </c:pt>
                <c:pt idx="4">
                  <c:v>168486.11624797367</c:v>
                </c:pt>
                <c:pt idx="5">
                  <c:v>191727.00532178589</c:v>
                </c:pt>
              </c:numCache>
            </c:numRef>
          </c:val>
          <c:extLst>
            <c:ext xmlns:c16="http://schemas.microsoft.com/office/drawing/2014/chart" uri="{C3380CC4-5D6E-409C-BE32-E72D297353CC}">
              <c16:uniqueId val="{00000002-B5D0-4D3B-8E75-477FC0F2AE3F}"/>
            </c:ext>
          </c:extLst>
        </c:ser>
        <c:dLbls>
          <c:showLegendKey val="0"/>
          <c:showVal val="0"/>
          <c:showCatName val="0"/>
          <c:showSerName val="0"/>
          <c:showPercent val="0"/>
          <c:showBubbleSize val="0"/>
        </c:dLbls>
        <c:gapWidth val="150"/>
        <c:axId val="78493935"/>
        <c:axId val="36060342"/>
      </c:barChart>
      <c:catAx>
        <c:axId val="7849393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060342"/>
        <c:crosses val="autoZero"/>
        <c:auto val="1"/>
        <c:lblAlgn val="ctr"/>
        <c:lblOffset val="100"/>
        <c:noMultiLvlLbl val="0"/>
      </c:catAx>
      <c:valAx>
        <c:axId val="360603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USD Millions</a:t>
                </a:r>
              </a:p>
            </c:rich>
          </c:tx>
          <c:layout>
            <c:manualLayout>
              <c:xMode val="edge"/>
              <c:yMode val="edge"/>
              <c:x val="7.7294709511874782E-3"/>
              <c:y val="0.37782086129390519"/>
            </c:manualLayout>
          </c:layout>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493935"/>
        <c:crosses val="autoZero"/>
        <c:crossBetween val="between"/>
      </c:valAx>
      <c:spPr>
        <a:noFill/>
        <a:ln w="0">
          <a:noFill/>
        </a:ln>
      </c:spPr>
    </c:plotArea>
    <c:legend>
      <c:legendPos val="r"/>
      <c:layout>
        <c:manualLayout>
          <c:xMode val="edge"/>
          <c:yMode val="edge"/>
          <c:x val="0.80653316795105723"/>
          <c:y val="0.28225683175657429"/>
          <c:w val="0.17027841919538031"/>
          <c:h val="0.47340667463152514"/>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Margin Progression (FY2024-FY2029)</a:t>
            </a:r>
          </a:p>
        </c:rich>
      </c:tx>
      <c:overlay val="0"/>
      <c:spPr>
        <a:noFill/>
        <a:ln w="0">
          <a:noFill/>
        </a:ln>
      </c:spPr>
    </c:title>
    <c:autoTitleDeleted val="0"/>
    <c:plotArea>
      <c:layout>
        <c:manualLayout>
          <c:layoutTarget val="inner"/>
          <c:xMode val="edge"/>
          <c:yMode val="edge"/>
          <c:x val="0.25000596076492065"/>
          <c:y val="0.25760324577423288"/>
          <c:w val="0.51385796895398139"/>
          <c:h val="0.52404927562575432"/>
        </c:manualLayout>
      </c:layout>
      <c:lineChart>
        <c:grouping val="standard"/>
        <c:varyColors val="0"/>
        <c:ser>
          <c:idx val="0"/>
          <c:order val="0"/>
          <c:tx>
            <c:strRef>
              <c:f>'Charts &amp; Visualizations'!$I$4</c:f>
              <c:strCache>
                <c:ptCount val="1"/>
                <c:pt idx="0">
                  <c:v>Gross Margin %</c:v>
                </c:pt>
              </c:strCache>
            </c:strRef>
          </c:tx>
          <c:spPr>
            <a:ln w="47520">
              <a:solidFill>
                <a:srgbClr val="1F386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Visualizations'!$H$5:$H$10</c:f>
              <c:strCache>
                <c:ptCount val="6"/>
                <c:pt idx="0">
                  <c:v>2024</c:v>
                </c:pt>
                <c:pt idx="1">
                  <c:v>2025</c:v>
                </c:pt>
                <c:pt idx="2">
                  <c:v>2026</c:v>
                </c:pt>
                <c:pt idx="3">
                  <c:v>2027</c:v>
                </c:pt>
                <c:pt idx="4">
                  <c:v>2028</c:v>
                </c:pt>
                <c:pt idx="5">
                  <c:v>2029</c:v>
                </c:pt>
              </c:strCache>
            </c:strRef>
          </c:cat>
          <c:val>
            <c:numRef>
              <c:f>'Charts &amp; Visualizations'!$I$5:$I$10</c:f>
              <c:numCache>
                <c:formatCode>0.0%;\(0.0%\);\-</c:formatCode>
                <c:ptCount val="6"/>
                <c:pt idx="0">
                  <c:v>1.3023555617202862</c:v>
                </c:pt>
                <c:pt idx="1">
                  <c:v>0.67</c:v>
                </c:pt>
                <c:pt idx="2">
                  <c:v>0.67500000000000004</c:v>
                </c:pt>
                <c:pt idx="3">
                  <c:v>0.68</c:v>
                </c:pt>
                <c:pt idx="4">
                  <c:v>0.68500000000000005</c:v>
                </c:pt>
                <c:pt idx="5">
                  <c:v>0.69</c:v>
                </c:pt>
              </c:numCache>
            </c:numRef>
          </c:val>
          <c:smooth val="1"/>
          <c:extLst>
            <c:ext xmlns:c16="http://schemas.microsoft.com/office/drawing/2014/chart" uri="{C3380CC4-5D6E-409C-BE32-E72D297353CC}">
              <c16:uniqueId val="{00000000-E9DC-4EFB-B97B-5789EB9CC59A}"/>
            </c:ext>
          </c:extLst>
        </c:ser>
        <c:ser>
          <c:idx val="1"/>
          <c:order val="1"/>
          <c:tx>
            <c:strRef>
              <c:f>'Charts &amp; Visualizations'!$J$4</c:f>
              <c:strCache>
                <c:ptCount val="1"/>
                <c:pt idx="0">
                  <c:v>EBITDA Margin %</c:v>
                </c:pt>
              </c:strCache>
            </c:strRef>
          </c:tx>
          <c:spPr>
            <a:ln w="47520">
              <a:solidFill>
                <a:srgbClr val="37562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Visualizations'!$H$5:$H$10</c:f>
              <c:strCache>
                <c:ptCount val="6"/>
                <c:pt idx="0">
                  <c:v>2024</c:v>
                </c:pt>
                <c:pt idx="1">
                  <c:v>2025</c:v>
                </c:pt>
                <c:pt idx="2">
                  <c:v>2026</c:v>
                </c:pt>
                <c:pt idx="3">
                  <c:v>2027</c:v>
                </c:pt>
                <c:pt idx="4">
                  <c:v>2028</c:v>
                </c:pt>
                <c:pt idx="5">
                  <c:v>2029</c:v>
                </c:pt>
              </c:strCache>
            </c:strRef>
          </c:cat>
          <c:val>
            <c:numRef>
              <c:f>'Charts &amp; Visualizations'!$J$5:$J$10</c:f>
              <c:numCache>
                <c:formatCode>0.0%;\(0.0%\);\-</c:formatCode>
                <c:ptCount val="6"/>
                <c:pt idx="0">
                  <c:v>1.1387635544749146</c:v>
                </c:pt>
                <c:pt idx="1">
                  <c:v>0.52200000000000002</c:v>
                </c:pt>
                <c:pt idx="2">
                  <c:v>0.53300000000000003</c:v>
                </c:pt>
                <c:pt idx="3">
                  <c:v>0.54299999999999993</c:v>
                </c:pt>
                <c:pt idx="4">
                  <c:v>0.55199999999999994</c:v>
                </c:pt>
                <c:pt idx="5">
                  <c:v>0.56200000000000006</c:v>
                </c:pt>
              </c:numCache>
            </c:numRef>
          </c:val>
          <c:smooth val="1"/>
          <c:extLst>
            <c:ext xmlns:c16="http://schemas.microsoft.com/office/drawing/2014/chart" uri="{C3380CC4-5D6E-409C-BE32-E72D297353CC}">
              <c16:uniqueId val="{00000001-E9DC-4EFB-B97B-5789EB9CC59A}"/>
            </c:ext>
          </c:extLst>
        </c:ser>
        <c:ser>
          <c:idx val="2"/>
          <c:order val="2"/>
          <c:tx>
            <c:strRef>
              <c:f>'Charts &amp; Visualizations'!$K$4</c:f>
              <c:strCache>
                <c:ptCount val="1"/>
                <c:pt idx="0">
                  <c:v>Net Margin %</c:v>
                </c:pt>
              </c:strCache>
            </c:strRef>
          </c:tx>
          <c:spPr>
            <a:ln w="47520">
              <a:solidFill>
                <a:srgbClr val="FF8C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Visualizations'!$H$5:$H$10</c:f>
              <c:strCache>
                <c:ptCount val="6"/>
                <c:pt idx="0">
                  <c:v>2024</c:v>
                </c:pt>
                <c:pt idx="1">
                  <c:v>2025</c:v>
                </c:pt>
                <c:pt idx="2">
                  <c:v>2026</c:v>
                </c:pt>
                <c:pt idx="3">
                  <c:v>2027</c:v>
                </c:pt>
                <c:pt idx="4">
                  <c:v>2028</c:v>
                </c:pt>
                <c:pt idx="5">
                  <c:v>2029</c:v>
                </c:pt>
              </c:strCache>
            </c:strRef>
          </c:cat>
          <c:val>
            <c:numRef>
              <c:f>'Charts &amp; Visualizations'!$K$5:$K$10</c:f>
              <c:numCache>
                <c:formatCode>0.0%;\(0.0%\);\-</c:formatCode>
                <c:ptCount val="6"/>
                <c:pt idx="0">
                  <c:v>0.86547029642382156</c:v>
                </c:pt>
                <c:pt idx="1">
                  <c:v>0.38110878022408007</c:v>
                </c:pt>
                <c:pt idx="2">
                  <c:v>0.38765584502075873</c:v>
                </c:pt>
                <c:pt idx="3">
                  <c:v>0.39372740791294614</c:v>
                </c:pt>
                <c:pt idx="4">
                  <c:v>0.39998407779906747</c:v>
                </c:pt>
                <c:pt idx="5">
                  <c:v>0.40639078374916737</c:v>
                </c:pt>
              </c:numCache>
            </c:numRef>
          </c:val>
          <c:smooth val="1"/>
          <c:extLst>
            <c:ext xmlns:c16="http://schemas.microsoft.com/office/drawing/2014/chart" uri="{C3380CC4-5D6E-409C-BE32-E72D297353CC}">
              <c16:uniqueId val="{00000002-E9DC-4EFB-B97B-5789EB9CC59A}"/>
            </c:ext>
          </c:extLst>
        </c:ser>
        <c:dLbls>
          <c:showLegendKey val="0"/>
          <c:showVal val="0"/>
          <c:showCatName val="0"/>
          <c:showSerName val="0"/>
          <c:showPercent val="0"/>
          <c:showBubbleSize val="0"/>
        </c:dLbls>
        <c:hiLowLines>
          <c:spPr>
            <a:ln w="0">
              <a:noFill/>
            </a:ln>
          </c:spPr>
        </c:hiLowLines>
        <c:smooth val="0"/>
        <c:axId val="84922241"/>
        <c:axId val="58254092"/>
      </c:lineChart>
      <c:catAx>
        <c:axId val="8492224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254092"/>
        <c:crosses val="autoZero"/>
        <c:auto val="1"/>
        <c:lblAlgn val="ctr"/>
        <c:lblOffset val="100"/>
        <c:noMultiLvlLbl val="0"/>
      </c:catAx>
      <c:valAx>
        <c:axId val="582540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Margin %</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922241"/>
        <c:crosses val="autoZero"/>
        <c:crossBetween val="between"/>
      </c:valAx>
      <c:spPr>
        <a:noFill/>
        <a:ln w="0">
          <a:noFill/>
        </a:ln>
      </c:spPr>
    </c:plotArea>
    <c:legend>
      <c:legendPos val="r"/>
      <c:layout>
        <c:manualLayout>
          <c:xMode val="edge"/>
          <c:yMode val="edge"/>
          <c:x val="0.76012557344766229"/>
          <c:y val="0.23949618551226173"/>
          <c:w val="0.21744428892489881"/>
          <c:h val="0.54895879415889837"/>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Free Cash Flow to Firm (FCFF)</a:t>
            </a:r>
          </a:p>
        </c:rich>
      </c:tx>
      <c:overlay val="0"/>
      <c:spPr>
        <a:noFill/>
        <a:ln w="0">
          <a:noFill/>
        </a:ln>
      </c:spPr>
    </c:title>
    <c:autoTitleDeleted val="0"/>
    <c:plotArea>
      <c:layout/>
      <c:barChart>
        <c:barDir val="col"/>
        <c:grouping val="clustered"/>
        <c:varyColors val="0"/>
        <c:ser>
          <c:idx val="0"/>
          <c:order val="0"/>
          <c:tx>
            <c:strRef>
              <c:f>'Charts &amp; Visualizations'!$C$18</c:f>
              <c:strCache>
                <c:ptCount val="1"/>
                <c:pt idx="0">
                  <c:v>FCFF ($M)</c:v>
                </c:pt>
              </c:strCache>
            </c:strRef>
          </c:tx>
          <c:spPr>
            <a:solidFill>
              <a:srgbClr val="375623"/>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 &amp; Visualizations'!$B$19:$B$24</c:f>
              <c:strCache>
                <c:ptCount val="6"/>
                <c:pt idx="0">
                  <c:v>2024</c:v>
                </c:pt>
                <c:pt idx="1">
                  <c:v>2025</c:v>
                </c:pt>
                <c:pt idx="2">
                  <c:v>2026</c:v>
                </c:pt>
                <c:pt idx="3">
                  <c:v>2027</c:v>
                </c:pt>
                <c:pt idx="4">
                  <c:v>2028</c:v>
                </c:pt>
                <c:pt idx="5">
                  <c:v>2029</c:v>
                </c:pt>
              </c:strCache>
            </c:strRef>
          </c:cat>
          <c:val>
            <c:numRef>
              <c:f>'Charts &amp; Visualizations'!$C$19:$C$24</c:f>
              <c:numCache>
                <c:formatCode>#,##0;\(#,##0\);\-</c:formatCode>
                <c:ptCount val="6"/>
                <c:pt idx="0">
                  <c:v>181029.81</c:v>
                </c:pt>
                <c:pt idx="1">
                  <c:v>96880.62199</c:v>
                </c:pt>
                <c:pt idx="2">
                  <c:v>113752.81046960001</c:v>
                </c:pt>
                <c:pt idx="3">
                  <c:v>133061.71645314316</c:v>
                </c:pt>
                <c:pt idx="4">
                  <c:v>153741.21001419125</c:v>
                </c:pt>
                <c:pt idx="5">
                  <c:v>176574.4359211009</c:v>
                </c:pt>
              </c:numCache>
            </c:numRef>
          </c:val>
          <c:extLst>
            <c:ext xmlns:c16="http://schemas.microsoft.com/office/drawing/2014/chart" uri="{C3380CC4-5D6E-409C-BE32-E72D297353CC}">
              <c16:uniqueId val="{00000000-FF39-4B1F-9376-66FEFB8F5E84}"/>
            </c:ext>
          </c:extLst>
        </c:ser>
        <c:dLbls>
          <c:showLegendKey val="0"/>
          <c:showVal val="0"/>
          <c:showCatName val="0"/>
          <c:showSerName val="0"/>
          <c:showPercent val="0"/>
          <c:showBubbleSize val="0"/>
        </c:dLbls>
        <c:gapWidth val="150"/>
        <c:axId val="66446713"/>
        <c:axId val="35593064"/>
      </c:barChart>
      <c:catAx>
        <c:axId val="664467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593064"/>
        <c:crosses val="autoZero"/>
        <c:auto val="1"/>
        <c:lblAlgn val="ctr"/>
        <c:lblOffset val="100"/>
        <c:noMultiLvlLbl val="0"/>
      </c:catAx>
      <c:valAx>
        <c:axId val="3559306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USD Millions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4467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Tornado Chart — Share Price Sensitivity Range</a:t>
            </a:r>
          </a:p>
        </c:rich>
      </c:tx>
      <c:overlay val="0"/>
      <c:spPr>
        <a:noFill/>
        <a:ln w="0">
          <a:noFill/>
        </a:ln>
      </c:spPr>
    </c:title>
    <c:autoTitleDeleted val="0"/>
    <c:plotArea>
      <c:layout/>
      <c:barChart>
        <c:barDir val="bar"/>
        <c:grouping val="clustered"/>
        <c:varyColors val="0"/>
        <c:ser>
          <c:idx val="1"/>
          <c:order val="0"/>
          <c:tx>
            <c:strRef>
              <c:f>'Tornado Analysis'!$F$4</c:f>
              <c:strCache>
                <c:ptCount val="1"/>
                <c:pt idx="0">
                  <c:v>Bull SP ($)</c:v>
                </c:pt>
              </c:strCache>
            </c:strRef>
          </c:tx>
          <c:spPr>
            <a:solidFill>
              <a:srgbClr val="63BE7B"/>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'Tornado Analysis'!$B$5:$B$9</c:f>
              <c:strCache>
                <c:ptCount val="5"/>
                <c:pt idx="0">
                  <c:v>Revenue Growth Rate</c:v>
                </c:pt>
                <c:pt idx="1">
                  <c:v>EV/EBITDA Multiple</c:v>
                </c:pt>
                <c:pt idx="2">
                  <c:v>COGS % of Revenue</c:v>
                </c:pt>
                <c:pt idx="3">
                  <c:v>WACC</c:v>
                </c:pt>
                <c:pt idx="4">
                  <c:v>Terminal Growth Rate</c:v>
                </c:pt>
              </c:strCache>
            </c:strRef>
          </c:cat>
          <c:val>
            <c:numRef>
              <c:f>'Tornado Analysis'!$F$5:$F$9</c:f>
              <c:numCache>
                <c:formatCode>\$#,##0.00</c:formatCode>
                <c:ptCount val="5"/>
                <c:pt idx="0">
                  <c:v>839.59</c:v>
                </c:pt>
                <c:pt idx="1">
                  <c:v>816.92</c:v>
                </c:pt>
                <c:pt idx="2">
                  <c:v>751.27</c:v>
                </c:pt>
                <c:pt idx="3">
                  <c:v>748.14</c:v>
                </c:pt>
                <c:pt idx="4">
                  <c:v>684.74</c:v>
                </c:pt>
              </c:numCache>
            </c:numRef>
          </c:val>
          <c:extLst>
            <c:ext xmlns:c16="http://schemas.microsoft.com/office/drawing/2014/chart" uri="{C3380CC4-5D6E-409C-BE32-E72D297353CC}">
              <c16:uniqueId val="{00000001-C2DA-4E3D-9E75-A8178C6A1528}"/>
            </c:ext>
          </c:extLst>
        </c:ser>
        <c:ser>
          <c:idx val="0"/>
          <c:order val="1"/>
          <c:tx>
            <c:strRef>
              <c:f>'Tornado Analysis'!$I$4</c:f>
              <c:strCache>
                <c:ptCount val="1"/>
                <c:pt idx="0">
                  <c:v>Bear SP ($)</c:v>
                </c:pt>
              </c:strCache>
            </c:strRef>
          </c:tx>
          <c:invertIfNegative val="0"/>
          <c:val>
            <c:numRef>
              <c:f>'Tornado Analysis'!$I$5:$I$9</c:f>
              <c:numCache>
                <c:formatCode>\$#,##0.00</c:formatCode>
                <c:ptCount val="5"/>
                <c:pt idx="0">
                  <c:v>-554.16999999999996</c:v>
                </c:pt>
                <c:pt idx="1">
                  <c:v>-552.55999999999995</c:v>
                </c:pt>
                <c:pt idx="2">
                  <c:v>-631.51</c:v>
                </c:pt>
                <c:pt idx="3">
                  <c:v>-641.5</c:v>
                </c:pt>
                <c:pt idx="4">
                  <c:v>-684.74</c:v>
                </c:pt>
              </c:numCache>
            </c:numRef>
          </c:val>
          <c:extLst>
            <c:ext xmlns:c16="http://schemas.microsoft.com/office/drawing/2014/chart" uri="{C3380CC4-5D6E-409C-BE32-E72D297353CC}">
              <c16:uniqueId val="{00000005-C2DA-4E3D-9E75-A8178C6A1528}"/>
            </c:ext>
          </c:extLst>
        </c:ser>
        <c:dLbls>
          <c:showLegendKey val="0"/>
          <c:showVal val="0"/>
          <c:showCatName val="0"/>
          <c:showSerName val="0"/>
          <c:showPercent val="0"/>
          <c:showBubbleSize val="0"/>
        </c:dLbls>
        <c:gapWidth val="150"/>
        <c:overlap val="100"/>
        <c:axId val="31901205"/>
        <c:axId val="38319333"/>
      </c:barChart>
      <c:catAx>
        <c:axId val="31901205"/>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Implied Share Price ($)</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n-US"/>
          </a:p>
        </c:txPr>
        <c:crossAx val="38319333"/>
        <c:crosses val="autoZero"/>
        <c:auto val="1"/>
        <c:lblAlgn val="ctr"/>
        <c:lblOffset val="100"/>
        <c:noMultiLvlLbl val="0"/>
      </c:catAx>
      <c:valAx>
        <c:axId val="38319333"/>
        <c:scaling>
          <c:orientation val="minMax"/>
        </c:scaling>
        <c:delete val="0"/>
        <c:axPos val="b"/>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90120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Totnado</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'Tornado Analysis'!$D$40</c:f>
              <c:strCache>
                <c:ptCount val="1"/>
                <c:pt idx="0">
                  <c:v>Pos</c:v>
                </c:pt>
              </c:strCache>
            </c:strRef>
          </c:tx>
          <c:spPr>
            <a:solidFill>
              <a:schemeClr val="accent1"/>
            </a:solidFill>
            <a:ln>
              <a:noFill/>
            </a:ln>
            <a:effectLst/>
          </c:spPr>
          <c:invertIfNegative val="0"/>
          <c:cat>
            <c:strRef>
              <c:f>'Tornado Analysis'!$B$41:$B$44</c:f>
              <c:strCache>
                <c:ptCount val="4"/>
                <c:pt idx="0">
                  <c:v>Revenue Growth rate +/- 5%</c:v>
                </c:pt>
                <c:pt idx="1">
                  <c:v>COGS +/-5%</c:v>
                </c:pt>
                <c:pt idx="2">
                  <c:v>EV/EBITDA +/1</c:v>
                </c:pt>
                <c:pt idx="3">
                  <c:v>WACC +/- 1%</c:v>
                </c:pt>
              </c:strCache>
            </c:strRef>
          </c:cat>
          <c:val>
            <c:numRef>
              <c:f>'Tornado Analysis'!$D$41:$D$44</c:f>
              <c:numCache>
                <c:formatCode>0.0%</c:formatCode>
                <c:ptCount val="4"/>
                <c:pt idx="0">
                  <c:v>0.22838140332467805</c:v>
                </c:pt>
                <c:pt idx="1">
                  <c:v>9.0679107991121777E-2</c:v>
                </c:pt>
                <c:pt idx="2">
                  <c:v>6.4288048931635311E-2</c:v>
                </c:pt>
                <c:pt idx="3">
                  <c:v>4.2674514240214512E-2</c:v>
                </c:pt>
              </c:numCache>
            </c:numRef>
          </c:val>
          <c:extLst>
            <c:ext xmlns:c16="http://schemas.microsoft.com/office/drawing/2014/chart" uri="{C3380CC4-5D6E-409C-BE32-E72D297353CC}">
              <c16:uniqueId val="{00000000-F58F-434E-8C57-5E7F067FA7D3}"/>
            </c:ext>
          </c:extLst>
        </c:ser>
        <c:ser>
          <c:idx val="1"/>
          <c:order val="1"/>
          <c:tx>
            <c:strRef>
              <c:f>'Tornado Analysis'!$G$40</c:f>
              <c:strCache>
                <c:ptCount val="1"/>
                <c:pt idx="0">
                  <c:v>Neg</c:v>
                </c:pt>
              </c:strCache>
            </c:strRef>
          </c:tx>
          <c:spPr>
            <a:solidFill>
              <a:schemeClr val="accent2"/>
            </a:solidFill>
            <a:ln>
              <a:noFill/>
            </a:ln>
            <a:effectLst/>
          </c:spPr>
          <c:invertIfNegative val="0"/>
          <c:cat>
            <c:strRef>
              <c:f>'Tornado Analysis'!$B$41:$B$44</c:f>
              <c:strCache>
                <c:ptCount val="4"/>
                <c:pt idx="0">
                  <c:v>Revenue Growth rate +/- 5%</c:v>
                </c:pt>
                <c:pt idx="1">
                  <c:v>COGS +/-5%</c:v>
                </c:pt>
                <c:pt idx="2">
                  <c:v>EV/EBITDA +/1</c:v>
                </c:pt>
                <c:pt idx="3">
                  <c:v>WACC +/- 1%</c:v>
                </c:pt>
              </c:strCache>
            </c:strRef>
          </c:cat>
          <c:val>
            <c:numRef>
              <c:f>'Tornado Analysis'!$G$41:$G$44</c:f>
              <c:numCache>
                <c:formatCode>0%</c:formatCode>
                <c:ptCount val="4"/>
                <c:pt idx="0">
                  <c:v>-0.22838140332467805</c:v>
                </c:pt>
                <c:pt idx="1">
                  <c:v>-9.0679107991121777E-2</c:v>
                </c:pt>
                <c:pt idx="2">
                  <c:v>-6.4288048931635311E-2</c:v>
                </c:pt>
                <c:pt idx="3">
                  <c:v>-4.2674514240214512E-2</c:v>
                </c:pt>
              </c:numCache>
            </c:numRef>
          </c:val>
          <c:extLst>
            <c:ext xmlns:c16="http://schemas.microsoft.com/office/drawing/2014/chart" uri="{C3380CC4-5D6E-409C-BE32-E72D297353CC}">
              <c16:uniqueId val="{00000001-F58F-434E-8C57-5E7F067FA7D3}"/>
            </c:ext>
          </c:extLst>
        </c:ser>
        <c:dLbls>
          <c:showLegendKey val="0"/>
          <c:showVal val="0"/>
          <c:showCatName val="0"/>
          <c:showSerName val="0"/>
          <c:showPercent val="0"/>
          <c:showBubbleSize val="0"/>
        </c:dLbls>
        <c:gapWidth val="150"/>
        <c:overlap val="100"/>
        <c:axId val="237832224"/>
        <c:axId val="237837504"/>
      </c:barChart>
      <c:catAx>
        <c:axId val="23783222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37504"/>
        <c:crosses val="autoZero"/>
        <c:auto val="1"/>
        <c:lblAlgn val="ctr"/>
        <c:lblOffset val="100"/>
        <c:noMultiLvlLbl val="0"/>
      </c:catAx>
      <c:valAx>
        <c:axId val="23783750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66676</xdr:colOff>
      <xdr:row>10</xdr:row>
      <xdr:rowOff>47625</xdr:rowOff>
    </xdr:from>
    <xdr:to>
      <xdr:col>11</xdr:col>
      <xdr:colOff>447675</xdr:colOff>
      <xdr:row>24</xdr:row>
      <xdr:rowOff>43154</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447675</xdr:colOff>
      <xdr:row>10</xdr:row>
      <xdr:rowOff>38100</xdr:rowOff>
    </xdr:from>
    <xdr:to>
      <xdr:col>17</xdr:col>
      <xdr:colOff>377789</xdr:colOff>
      <xdr:row>25</xdr:row>
      <xdr:rowOff>171450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10</xdr:row>
      <xdr:rowOff>57150</xdr:rowOff>
    </xdr:from>
    <xdr:to>
      <xdr:col>6</xdr:col>
      <xdr:colOff>57150</xdr:colOff>
      <xdr:row>24</xdr:row>
      <xdr:rowOff>57150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9</xdr:row>
      <xdr:rowOff>66675</xdr:rowOff>
    </xdr:from>
    <xdr:to>
      <xdr:col>7</xdr:col>
      <xdr:colOff>651750</xdr:colOff>
      <xdr:row>25</xdr:row>
      <xdr:rowOff>76200</xdr:rowOff>
    </xdr:to>
    <xdr:graphicFrame macro="">
      <xdr:nvGraphicFramePr>
        <xdr:cNvPr id="3" name="Chart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857250</xdr:colOff>
      <xdr:row>44</xdr:row>
      <xdr:rowOff>100012</xdr:rowOff>
    </xdr:from>
    <xdr:to>
      <xdr:col>7</xdr:col>
      <xdr:colOff>466725</xdr:colOff>
      <xdr:row>58</xdr:row>
      <xdr:rowOff>176212</xdr:rowOff>
    </xdr:to>
    <xdr:graphicFrame macro="">
      <xdr:nvGraphicFramePr>
        <xdr:cNvPr id="2" name="Chart 1">
          <a:extLst>
            <a:ext uri="{FF2B5EF4-FFF2-40B4-BE49-F238E27FC236}">
              <a16:creationId xmlns:a16="http://schemas.microsoft.com/office/drawing/2014/main" id="{17D79915-5CA9-FF8F-23B4-60D3A19E9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showGridLines="0" showRowColHeaders="0" topLeftCell="A21" zoomScaleNormal="100" workbookViewId="0"/>
  </sheetViews>
  <sheetFormatPr defaultColWidth="8.7109375" defaultRowHeight="15" x14ac:dyDescent="0.25"/>
  <cols>
    <col min="1" max="1" width="5" customWidth="1"/>
    <col min="2" max="2" width="40" customWidth="1"/>
    <col min="3" max="3" width="35" customWidth="1"/>
    <col min="4" max="4" width="20" customWidth="1"/>
  </cols>
  <sheetData>
    <row r="1" spans="1:4" ht="18" customHeight="1" x14ac:dyDescent="0.25"/>
    <row r="2" spans="1:4" ht="90" customHeight="1" x14ac:dyDescent="0.25">
      <c r="A2" s="58" t="s">
        <v>0</v>
      </c>
      <c r="B2" s="58"/>
      <c r="C2" s="58"/>
      <c r="D2" s="58"/>
    </row>
    <row r="3" spans="1:4" ht="18" customHeight="1" x14ac:dyDescent="0.25">
      <c r="A3" s="55"/>
      <c r="B3" s="55"/>
      <c r="C3" s="55"/>
      <c r="D3" s="55"/>
    </row>
    <row r="4" spans="1:4" ht="18" customHeight="1" x14ac:dyDescent="0.25">
      <c r="A4" s="55"/>
      <c r="B4" s="55"/>
      <c r="C4" s="55"/>
      <c r="D4" s="55"/>
    </row>
    <row r="5" spans="1:4" ht="18" customHeight="1" x14ac:dyDescent="0.25">
      <c r="A5" s="55"/>
      <c r="B5" s="55"/>
      <c r="C5" s="55"/>
      <c r="D5" s="55"/>
    </row>
    <row r="6" spans="1:4" ht="18" customHeight="1" x14ac:dyDescent="0.25">
      <c r="A6" s="55"/>
      <c r="B6" s="55"/>
      <c r="C6" s="55"/>
      <c r="D6" s="55"/>
    </row>
    <row r="7" spans="1:4" ht="18" customHeight="1" x14ac:dyDescent="0.25">
      <c r="A7" s="55"/>
      <c r="B7" s="55"/>
      <c r="C7" s="55"/>
      <c r="D7" s="55"/>
    </row>
    <row r="8" spans="1:4" ht="18" customHeight="1" x14ac:dyDescent="0.25">
      <c r="A8" s="56" t="s">
        <v>1</v>
      </c>
      <c r="B8" s="56"/>
      <c r="C8" s="56"/>
      <c r="D8" s="56"/>
    </row>
    <row r="9" spans="1:4" ht="18" customHeight="1" x14ac:dyDescent="0.25"/>
    <row r="10" spans="1:4" ht="18" customHeight="1" x14ac:dyDescent="0.25"/>
    <row r="11" spans="1:4" ht="18" customHeight="1" x14ac:dyDescent="0.25">
      <c r="B11" s="3" t="s">
        <v>2</v>
      </c>
    </row>
    <row r="12" spans="1:4" ht="18" customHeight="1" x14ac:dyDescent="0.25">
      <c r="B12" s="4" t="s">
        <v>3</v>
      </c>
      <c r="C12" s="4" t="s">
        <v>4</v>
      </c>
      <c r="D12" s="4" t="s">
        <v>5</v>
      </c>
    </row>
    <row r="13" spans="1:4" ht="18" customHeight="1" x14ac:dyDescent="0.25">
      <c r="B13" s="5" t="s">
        <v>6</v>
      </c>
      <c r="C13" s="6" t="s">
        <v>7</v>
      </c>
      <c r="D13" s="7" t="s">
        <v>8</v>
      </c>
    </row>
    <row r="14" spans="1:4" ht="18" customHeight="1" x14ac:dyDescent="0.25">
      <c r="B14" s="8" t="s">
        <v>9</v>
      </c>
      <c r="C14" s="9" t="s">
        <v>10</v>
      </c>
      <c r="D14" s="10" t="s">
        <v>11</v>
      </c>
    </row>
    <row r="15" spans="1:4" ht="18" customHeight="1" x14ac:dyDescent="0.25">
      <c r="B15" s="5" t="s">
        <v>12</v>
      </c>
      <c r="C15" s="6" t="s">
        <v>13</v>
      </c>
      <c r="D15" s="7" t="s">
        <v>14</v>
      </c>
    </row>
    <row r="16" spans="1:4" ht="18" customHeight="1" x14ac:dyDescent="0.25">
      <c r="B16" s="8" t="s">
        <v>15</v>
      </c>
      <c r="C16" s="9" t="s">
        <v>16</v>
      </c>
      <c r="D16" s="10" t="s">
        <v>17</v>
      </c>
    </row>
    <row r="17" spans="2:4" ht="18" customHeight="1" x14ac:dyDescent="0.25">
      <c r="B17" s="5" t="s">
        <v>18</v>
      </c>
      <c r="C17" s="6" t="s">
        <v>19</v>
      </c>
      <c r="D17" s="7" t="s">
        <v>20</v>
      </c>
    </row>
    <row r="18" spans="2:4" ht="18" customHeight="1" x14ac:dyDescent="0.25">
      <c r="B18" s="8" t="s">
        <v>21</v>
      </c>
      <c r="C18" s="9" t="s">
        <v>22</v>
      </c>
      <c r="D18" s="10" t="s">
        <v>23</v>
      </c>
    </row>
    <row r="19" spans="2:4" ht="18" customHeight="1" x14ac:dyDescent="0.25">
      <c r="B19" s="5" t="s">
        <v>24</v>
      </c>
      <c r="C19" s="6" t="s">
        <v>25</v>
      </c>
      <c r="D19" s="7" t="s">
        <v>26</v>
      </c>
    </row>
    <row r="20" spans="2:4" ht="18" customHeight="1" x14ac:dyDescent="0.25"/>
    <row r="21" spans="2:4" ht="18" customHeight="1" x14ac:dyDescent="0.25"/>
    <row r="22" spans="2:4" ht="18" customHeight="1" x14ac:dyDescent="0.25"/>
    <row r="23" spans="2:4" ht="18" customHeight="1" x14ac:dyDescent="0.25">
      <c r="B23" s="11" t="s">
        <v>27</v>
      </c>
    </row>
    <row r="24" spans="2:4" ht="18" customHeight="1" x14ac:dyDescent="0.25">
      <c r="B24" s="2" t="s">
        <v>28</v>
      </c>
      <c r="C24" s="2" t="s">
        <v>29</v>
      </c>
      <c r="D24" s="2" t="s">
        <v>30</v>
      </c>
    </row>
    <row r="25" spans="2:4" ht="18" customHeight="1" x14ac:dyDescent="0.25">
      <c r="B25" s="12" t="s">
        <v>31</v>
      </c>
      <c r="C25" s="13" t="s">
        <v>32</v>
      </c>
      <c r="D25" s="14" t="s">
        <v>33</v>
      </c>
    </row>
    <row r="26" spans="2:4" ht="18" customHeight="1" x14ac:dyDescent="0.25">
      <c r="B26" t="s">
        <v>34</v>
      </c>
      <c r="C26" s="11" t="s">
        <v>35</v>
      </c>
      <c r="D26" s="1" t="s">
        <v>36</v>
      </c>
    </row>
    <row r="27" spans="2:4" ht="18" customHeight="1" x14ac:dyDescent="0.25">
      <c r="B27" s="12" t="s">
        <v>37</v>
      </c>
      <c r="C27" s="13" t="s">
        <v>38</v>
      </c>
      <c r="D27" s="14" t="s">
        <v>39</v>
      </c>
    </row>
    <row r="28" spans="2:4" ht="18" customHeight="1" x14ac:dyDescent="0.25">
      <c r="B28" t="s">
        <v>40</v>
      </c>
      <c r="C28" s="11" t="s">
        <v>41</v>
      </c>
      <c r="D28" s="1" t="s">
        <v>42</v>
      </c>
    </row>
    <row r="29" spans="2:4" ht="18" customHeight="1" x14ac:dyDescent="0.25">
      <c r="B29" s="12" t="s">
        <v>43</v>
      </c>
      <c r="C29" s="13" t="s">
        <v>44</v>
      </c>
      <c r="D29" s="14" t="s">
        <v>45</v>
      </c>
    </row>
    <row r="30" spans="2:4" ht="18" customHeight="1" x14ac:dyDescent="0.25">
      <c r="B30" t="s">
        <v>46</v>
      </c>
      <c r="C30" s="11" t="s">
        <v>47</v>
      </c>
      <c r="D30" s="1" t="s">
        <v>48</v>
      </c>
    </row>
    <row r="31" spans="2:4" ht="18" customHeight="1" x14ac:dyDescent="0.25"/>
    <row r="32" spans="2:4" ht="18" customHeight="1" x14ac:dyDescent="0.25"/>
    <row r="33" spans="1:4" ht="18" customHeight="1" x14ac:dyDescent="0.25"/>
    <row r="34" spans="1:4" ht="18" customHeight="1" x14ac:dyDescent="0.25"/>
    <row r="35" spans="1:4" ht="18" customHeight="1" x14ac:dyDescent="0.25">
      <c r="A35" s="57" t="s">
        <v>49</v>
      </c>
      <c r="B35" s="57"/>
      <c r="C35" s="57"/>
      <c r="D35" s="57"/>
    </row>
    <row r="36" spans="1:4" ht="18" customHeight="1" x14ac:dyDescent="0.25">
      <c r="A36" s="57"/>
      <c r="B36" s="57"/>
      <c r="C36" s="57"/>
      <c r="D36" s="57"/>
    </row>
    <row r="37" spans="1:4" ht="18" customHeight="1" x14ac:dyDescent="0.25">
      <c r="A37" s="57"/>
      <c r="B37" s="57"/>
      <c r="C37" s="57"/>
      <c r="D37" s="57"/>
    </row>
    <row r="38" spans="1:4" ht="18" customHeight="1" x14ac:dyDescent="0.25"/>
    <row r="39" spans="1:4" ht="18" customHeight="1" x14ac:dyDescent="0.25"/>
  </sheetData>
  <mergeCells count="8">
    <mergeCell ref="A7:D7"/>
    <mergeCell ref="A8:D8"/>
    <mergeCell ref="A35:D37"/>
    <mergeCell ref="A2:D2"/>
    <mergeCell ref="A3:D3"/>
    <mergeCell ref="A4:D4"/>
    <mergeCell ref="A5:D5"/>
    <mergeCell ref="A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
  <sheetViews>
    <sheetView showGridLines="0" showRowColHeaders="0" topLeftCell="A9" zoomScaleNormal="100" workbookViewId="0">
      <selection activeCell="C26" sqref="C26"/>
    </sheetView>
  </sheetViews>
  <sheetFormatPr defaultColWidth="8.7109375" defaultRowHeight="15" x14ac:dyDescent="0.25"/>
  <cols>
    <col min="1" max="1" width="3" customWidth="1"/>
    <col min="2" max="2" width="38" customWidth="1"/>
    <col min="3" max="3" width="18" customWidth="1"/>
    <col min="4" max="4" width="22" customWidth="1"/>
    <col min="5" max="5" width="18" customWidth="1"/>
  </cols>
  <sheetData>
    <row r="1" spans="1:9" ht="36" customHeight="1" x14ac:dyDescent="0.25">
      <c r="A1" s="62" t="s">
        <v>50</v>
      </c>
      <c r="B1" s="62"/>
      <c r="C1" s="62"/>
      <c r="D1" s="62"/>
      <c r="E1" s="62"/>
    </row>
    <row r="2" spans="1:9" x14ac:dyDescent="0.25">
      <c r="A2" s="63" t="s">
        <v>51</v>
      </c>
      <c r="B2" s="63"/>
      <c r="C2" s="63"/>
      <c r="D2" s="63"/>
      <c r="E2" s="63"/>
    </row>
    <row r="4" spans="1:9" x14ac:dyDescent="0.25">
      <c r="A4" s="64" t="s">
        <v>52</v>
      </c>
      <c r="B4" s="64"/>
      <c r="C4" s="64"/>
      <c r="D4" s="64"/>
      <c r="E4" s="64"/>
    </row>
    <row r="5" spans="1:9" x14ac:dyDescent="0.25">
      <c r="B5" s="65" t="s">
        <v>53</v>
      </c>
      <c r="C5" s="65"/>
      <c r="D5" s="65"/>
      <c r="E5" s="65"/>
    </row>
    <row r="6" spans="1:9" x14ac:dyDescent="0.25">
      <c r="B6" s="66" t="s">
        <v>54</v>
      </c>
      <c r="C6" s="66"/>
      <c r="D6" s="66"/>
      <c r="E6" s="66"/>
    </row>
    <row r="7" spans="1:9" x14ac:dyDescent="0.25">
      <c r="B7" s="60" t="s">
        <v>55</v>
      </c>
      <c r="C7" s="60"/>
      <c r="D7" s="60"/>
      <c r="E7" s="60"/>
    </row>
    <row r="9" spans="1:9" x14ac:dyDescent="0.25">
      <c r="A9" s="53" t="s">
        <v>56</v>
      </c>
      <c r="B9" s="53"/>
      <c r="C9" s="53"/>
      <c r="D9" s="53"/>
      <c r="E9" s="53"/>
    </row>
    <row r="10" spans="1:9" x14ac:dyDescent="0.25">
      <c r="B10" s="2" t="s">
        <v>57</v>
      </c>
      <c r="C10" s="2" t="s">
        <v>58</v>
      </c>
      <c r="D10" s="2" t="s">
        <v>59</v>
      </c>
      <c r="E10" s="2" t="s">
        <v>60</v>
      </c>
      <c r="F10" s="2" t="s">
        <v>61</v>
      </c>
      <c r="G10" s="2" t="s">
        <v>62</v>
      </c>
    </row>
    <row r="11" spans="1:9" x14ac:dyDescent="0.25">
      <c r="B11" s="15" t="s">
        <v>63</v>
      </c>
      <c r="C11" s="16">
        <f>'Tornado Analysis'!J21+'Tornado Analysis'!B28</f>
        <v>0.15</v>
      </c>
      <c r="D11" s="16">
        <f>C11+1%</f>
        <v>0.16</v>
      </c>
      <c r="E11" s="16">
        <f>C11-1%</f>
        <v>0.13999999999999999</v>
      </c>
      <c r="F11" s="16">
        <f>C11-2%</f>
        <v>0.13</v>
      </c>
      <c r="G11" s="16">
        <f>C11-3%</f>
        <v>0.12</v>
      </c>
    </row>
    <row r="12" spans="1:9" x14ac:dyDescent="0.25">
      <c r="I12" s="71"/>
    </row>
    <row r="13" spans="1:9" x14ac:dyDescent="0.25">
      <c r="A13" s="53" t="s">
        <v>64</v>
      </c>
      <c r="B13" s="53"/>
      <c r="C13" s="53"/>
      <c r="D13" s="53"/>
      <c r="E13" s="53"/>
    </row>
    <row r="14" spans="1:9" x14ac:dyDescent="0.25">
      <c r="B14" s="2" t="s">
        <v>57</v>
      </c>
      <c r="C14" s="2" t="s">
        <v>58</v>
      </c>
      <c r="D14" s="2" t="s">
        <v>59</v>
      </c>
      <c r="E14" s="2" t="s">
        <v>60</v>
      </c>
      <c r="F14" s="2" t="s">
        <v>61</v>
      </c>
      <c r="G14" s="2" t="s">
        <v>62</v>
      </c>
    </row>
    <row r="15" spans="1:9" x14ac:dyDescent="0.25">
      <c r="B15" s="17" t="s">
        <v>65</v>
      </c>
      <c r="C15" s="16">
        <f>33%+'Tornado Analysis'!E28</f>
        <v>0.33</v>
      </c>
      <c r="D15" s="16">
        <f>32.5%+'Tornado Analysis'!E28</f>
        <v>0.32500000000000001</v>
      </c>
      <c r="E15" s="16">
        <f>32%+'Tornado Analysis'!E28</f>
        <v>0.32</v>
      </c>
      <c r="F15" s="16">
        <f>31.5%+'Tornado Analysis'!E28</f>
        <v>0.315</v>
      </c>
      <c r="G15" s="16">
        <f>31%+'Tornado Analysis'!E28</f>
        <v>0.31</v>
      </c>
    </row>
    <row r="16" spans="1:9" x14ac:dyDescent="0.25">
      <c r="B16" s="17" t="s">
        <v>66</v>
      </c>
      <c r="C16" s="16">
        <v>0.115</v>
      </c>
      <c r="D16" s="16">
        <v>0.112</v>
      </c>
      <c r="E16" s="16">
        <v>0.11</v>
      </c>
      <c r="F16" s="16">
        <v>0.108</v>
      </c>
      <c r="G16" s="16">
        <v>0.106</v>
      </c>
    </row>
    <row r="17" spans="1:7" x14ac:dyDescent="0.25">
      <c r="B17" s="17" t="s">
        <v>67</v>
      </c>
      <c r="C17" s="16">
        <v>8.5000000000000006E-2</v>
      </c>
      <c r="D17" s="16">
        <v>8.3000000000000004E-2</v>
      </c>
      <c r="E17" s="16">
        <v>8.1000000000000003E-2</v>
      </c>
      <c r="F17" s="16">
        <v>7.9000000000000001E-2</v>
      </c>
      <c r="G17" s="16">
        <v>7.6999999999999999E-2</v>
      </c>
    </row>
    <row r="18" spans="1:7" x14ac:dyDescent="0.25">
      <c r="B18" s="17" t="s">
        <v>68</v>
      </c>
      <c r="C18" s="16">
        <v>5.1999999999999998E-2</v>
      </c>
      <c r="D18" s="16">
        <v>5.2999999999999999E-2</v>
      </c>
      <c r="E18" s="16">
        <v>5.3999999999999999E-2</v>
      </c>
      <c r="F18" s="16">
        <v>5.3999999999999999E-2</v>
      </c>
      <c r="G18" s="16">
        <v>5.5E-2</v>
      </c>
    </row>
    <row r="19" spans="1:7" x14ac:dyDescent="0.25">
      <c r="B19" s="17" t="s">
        <v>69</v>
      </c>
      <c r="C19" s="16">
        <v>0.09</v>
      </c>
      <c r="D19" s="16">
        <v>9.1999999999999998E-2</v>
      </c>
      <c r="E19" s="16">
        <v>0.09</v>
      </c>
      <c r="F19" s="16">
        <v>8.7999999999999995E-2</v>
      </c>
      <c r="G19" s="16">
        <v>8.5999999999999993E-2</v>
      </c>
    </row>
    <row r="20" spans="1:7" x14ac:dyDescent="0.25">
      <c r="B20" s="17" t="s">
        <v>70</v>
      </c>
      <c r="C20" s="16">
        <v>0.05</v>
      </c>
      <c r="D20" s="16">
        <v>0.05</v>
      </c>
      <c r="E20" s="16">
        <v>0.05</v>
      </c>
      <c r="F20" s="16">
        <v>0.05</v>
      </c>
      <c r="G20" s="16">
        <v>0.05</v>
      </c>
    </row>
    <row r="22" spans="1:7" x14ac:dyDescent="0.25">
      <c r="A22" s="53" t="s">
        <v>71</v>
      </c>
      <c r="B22" s="53"/>
      <c r="C22" s="53"/>
      <c r="D22" s="53"/>
      <c r="E22" s="53"/>
    </row>
    <row r="23" spans="1:7" x14ac:dyDescent="0.25">
      <c r="B23" s="2" t="s">
        <v>72</v>
      </c>
      <c r="C23" s="2" t="s">
        <v>29</v>
      </c>
      <c r="D23" s="61" t="s">
        <v>73</v>
      </c>
      <c r="E23" s="61"/>
    </row>
    <row r="24" spans="1:7" x14ac:dyDescent="0.25">
      <c r="B24" s="17" t="s">
        <v>43</v>
      </c>
      <c r="C24" s="16">
        <v>0.21</v>
      </c>
      <c r="D24" s="59" t="s">
        <v>45</v>
      </c>
      <c r="E24" s="59"/>
    </row>
    <row r="25" spans="1:7" x14ac:dyDescent="0.25">
      <c r="B25" s="17" t="s">
        <v>74</v>
      </c>
      <c r="C25" s="16">
        <f>9.5%+'Tornado Analysis'!L28</f>
        <v>9.5000000000000001E-2</v>
      </c>
      <c r="D25" s="59" t="s">
        <v>75</v>
      </c>
      <c r="E25" s="59"/>
    </row>
    <row r="26" spans="1:7" x14ac:dyDescent="0.25">
      <c r="B26" s="17" t="s">
        <v>76</v>
      </c>
      <c r="C26" s="16">
        <f>3%+'Tornado Analysis'!O28</f>
        <v>0.03</v>
      </c>
      <c r="D26" s="59" t="s">
        <v>77</v>
      </c>
      <c r="E26" s="59"/>
    </row>
    <row r="27" spans="1:7" x14ac:dyDescent="0.25">
      <c r="B27" s="17" t="s">
        <v>78</v>
      </c>
      <c r="C27" s="18">
        <f>'Tornado Analysis'!J22</f>
        <v>28</v>
      </c>
      <c r="D27" s="59" t="s">
        <v>79</v>
      </c>
      <c r="E27" s="59"/>
    </row>
    <row r="28" spans="1:7" x14ac:dyDescent="0.25">
      <c r="B28" s="17" t="s">
        <v>80</v>
      </c>
      <c r="C28" s="19">
        <v>7435</v>
      </c>
      <c r="D28" s="59" t="s">
        <v>81</v>
      </c>
      <c r="E28" s="59"/>
    </row>
    <row r="29" spans="1:7" x14ac:dyDescent="0.25">
      <c r="B29" s="17" t="s">
        <v>82</v>
      </c>
      <c r="C29" s="19">
        <v>-20000</v>
      </c>
      <c r="D29" s="59" t="s">
        <v>83</v>
      </c>
      <c r="E29" s="59"/>
    </row>
  </sheetData>
  <mergeCells count="16">
    <mergeCell ref="A1:E1"/>
    <mergeCell ref="A2:E2"/>
    <mergeCell ref="A4:E4"/>
    <mergeCell ref="B5:E5"/>
    <mergeCell ref="B6:E6"/>
    <mergeCell ref="B7:E7"/>
    <mergeCell ref="A9:E9"/>
    <mergeCell ref="A13:E13"/>
    <mergeCell ref="A22:E22"/>
    <mergeCell ref="D23:E23"/>
    <mergeCell ref="D29:E29"/>
    <mergeCell ref="D24:E24"/>
    <mergeCell ref="D25:E25"/>
    <mergeCell ref="D26:E26"/>
    <mergeCell ref="D27:E27"/>
    <mergeCell ref="D28:E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showGridLines="0" showRowColHeaders="0" zoomScaleNormal="100" workbookViewId="0">
      <selection activeCell="D6" sqref="D6"/>
    </sheetView>
  </sheetViews>
  <sheetFormatPr defaultColWidth="8.7109375" defaultRowHeight="15" x14ac:dyDescent="0.25"/>
  <cols>
    <col min="1" max="1" width="3" customWidth="1"/>
    <col min="2" max="2" width="38" customWidth="1"/>
    <col min="3" max="8" width="16" customWidth="1"/>
  </cols>
  <sheetData>
    <row r="1" spans="1:8" ht="30" customHeight="1" x14ac:dyDescent="0.25">
      <c r="A1" s="52" t="s">
        <v>84</v>
      </c>
      <c r="B1" s="52"/>
      <c r="C1" s="52"/>
      <c r="D1" s="52"/>
      <c r="E1" s="52"/>
      <c r="F1" s="52"/>
      <c r="G1" s="52"/>
      <c r="H1" s="52"/>
    </row>
    <row r="3" spans="1:8" x14ac:dyDescent="0.25">
      <c r="B3" s="4"/>
      <c r="C3" s="4" t="s">
        <v>85</v>
      </c>
      <c r="D3" s="4" t="s">
        <v>58</v>
      </c>
      <c r="E3" s="4" t="s">
        <v>59</v>
      </c>
      <c r="F3" s="4" t="s">
        <v>60</v>
      </c>
      <c r="G3" s="4" t="s">
        <v>61</v>
      </c>
      <c r="H3" s="4" t="s">
        <v>62</v>
      </c>
    </row>
    <row r="4" spans="1:8" x14ac:dyDescent="0.25">
      <c r="C4" s="20" t="s">
        <v>86</v>
      </c>
      <c r="D4" s="20" t="s">
        <v>87</v>
      </c>
      <c r="E4" s="20" t="s">
        <v>87</v>
      </c>
      <c r="F4" s="20" t="s">
        <v>87</v>
      </c>
      <c r="G4" s="20" t="s">
        <v>87</v>
      </c>
      <c r="H4" s="20" t="s">
        <v>87</v>
      </c>
    </row>
    <row r="5" spans="1:8" x14ac:dyDescent="0.25">
      <c r="B5" s="53" t="s">
        <v>88</v>
      </c>
      <c r="C5" s="53"/>
      <c r="D5" s="53"/>
      <c r="E5" s="53"/>
      <c r="F5" s="53"/>
      <c r="G5" s="53"/>
      <c r="H5" s="53"/>
    </row>
    <row r="6" spans="1:8" x14ac:dyDescent="0.25">
      <c r="B6" s="15" t="s">
        <v>89</v>
      </c>
      <c r="C6" s="21">
        <v>245122</v>
      </c>
      <c r="D6" s="22">
        <f>C6*(1+Assumptions!C11)</f>
        <v>281890.3</v>
      </c>
      <c r="E6" s="22">
        <f>D6*(1+Assumptions!D11)</f>
        <v>326992.74799999996</v>
      </c>
      <c r="F6" s="22">
        <f>E6*(1+Assumptions!E11)</f>
        <v>372771.73271999991</v>
      </c>
      <c r="G6" s="22">
        <f>F6*(1+Assumptions!F11)</f>
        <v>421232.05797359988</v>
      </c>
      <c r="H6" s="22">
        <f>G6*(1+Assumptions!G11)</f>
        <v>471779.90493043192</v>
      </c>
    </row>
    <row r="7" spans="1:8" x14ac:dyDescent="0.25">
      <c r="B7" s="54" t="s">
        <v>90</v>
      </c>
      <c r="C7" s="54"/>
      <c r="D7" s="54"/>
      <c r="E7" s="54"/>
      <c r="F7" s="54"/>
      <c r="G7" s="54"/>
      <c r="H7" s="54"/>
    </row>
    <row r="8" spans="1:8" x14ac:dyDescent="0.25">
      <c r="B8" s="17" t="s">
        <v>91</v>
      </c>
      <c r="C8" s="21">
        <v>74114</v>
      </c>
      <c r="D8" s="23">
        <f>-D6*Assumptions!C15</f>
        <v>-93023.798999999999</v>
      </c>
      <c r="E8" s="23">
        <f>-E6*Assumptions!D15</f>
        <v>-106272.64309999999</v>
      </c>
      <c r="F8" s="23">
        <f>-F6*Assumptions!E15</f>
        <v>-119286.95447039997</v>
      </c>
      <c r="G8" s="23">
        <f>-G6*Assumptions!F15</f>
        <v>-132688.09826168398</v>
      </c>
      <c r="H8" s="23">
        <f>-H6*Assumptions!G15</f>
        <v>-146251.7705284339</v>
      </c>
    </row>
    <row r="9" spans="1:8" x14ac:dyDescent="0.25">
      <c r="B9" s="15" t="s">
        <v>92</v>
      </c>
      <c r="C9" s="24">
        <f t="shared" ref="C9:H9" si="0">C6+C8</f>
        <v>319236</v>
      </c>
      <c r="D9" s="24">
        <f t="shared" si="0"/>
        <v>188866.50099999999</v>
      </c>
      <c r="E9" s="24">
        <f t="shared" si="0"/>
        <v>220720.10489999998</v>
      </c>
      <c r="F9" s="24">
        <f t="shared" si="0"/>
        <v>253484.77824959994</v>
      </c>
      <c r="G9" s="24">
        <f t="shared" si="0"/>
        <v>288543.95971191593</v>
      </c>
      <c r="H9" s="24">
        <f t="shared" si="0"/>
        <v>325528.13440199802</v>
      </c>
    </row>
    <row r="10" spans="1:8" x14ac:dyDescent="0.25">
      <c r="B10" s="25" t="s">
        <v>93</v>
      </c>
      <c r="C10" s="26">
        <f t="shared" ref="C10:H10" si="1">IF(C6=0,0,C9/C6)</f>
        <v>1.3023555617202862</v>
      </c>
      <c r="D10" s="26">
        <f t="shared" si="1"/>
        <v>0.67</v>
      </c>
      <c r="E10" s="26">
        <f t="shared" si="1"/>
        <v>0.67500000000000004</v>
      </c>
      <c r="F10" s="26">
        <f t="shared" si="1"/>
        <v>0.68</v>
      </c>
      <c r="G10" s="26">
        <f t="shared" si="1"/>
        <v>0.68500000000000005</v>
      </c>
      <c r="H10" s="26">
        <f t="shared" si="1"/>
        <v>0.69</v>
      </c>
    </row>
    <row r="11" spans="1:8" x14ac:dyDescent="0.25">
      <c r="B11" s="17" t="s">
        <v>94</v>
      </c>
      <c r="C11" s="21">
        <v>-29510</v>
      </c>
      <c r="D11" s="23">
        <f>-D6*Assumptions!C16</f>
        <v>-32417.3845</v>
      </c>
      <c r="E11" s="23">
        <f>-E6*Assumptions!D16</f>
        <v>-36623.187775999999</v>
      </c>
      <c r="F11" s="23">
        <f>-F6*Assumptions!E16</f>
        <v>-41004.890599199993</v>
      </c>
      <c r="G11" s="23">
        <f>-G6*Assumptions!F16</f>
        <v>-45493.062261148785</v>
      </c>
      <c r="H11" s="23">
        <f>-H6*Assumptions!G16</f>
        <v>-50008.669922625784</v>
      </c>
    </row>
    <row r="12" spans="1:8" x14ac:dyDescent="0.25">
      <c r="B12" s="17" t="s">
        <v>95</v>
      </c>
      <c r="C12" s="21">
        <v>-24456</v>
      </c>
      <c r="D12" s="23">
        <f>-D6*Assumptions!C17</f>
        <v>-23960.675500000001</v>
      </c>
      <c r="E12" s="23">
        <f>-E6*Assumptions!D17</f>
        <v>-27140.398083999997</v>
      </c>
      <c r="F12" s="23">
        <f>-F6*Assumptions!E17</f>
        <v>-30194.510350319993</v>
      </c>
      <c r="G12" s="23">
        <f>-G6*Assumptions!F17</f>
        <v>-33277.332579914393</v>
      </c>
      <c r="H12" s="23">
        <f>-H6*Assumptions!G17</f>
        <v>-36327.05267964326</v>
      </c>
    </row>
    <row r="13" spans="1:8" x14ac:dyDescent="0.25">
      <c r="B13" s="15" t="s">
        <v>96</v>
      </c>
      <c r="C13" s="27">
        <f t="shared" ref="C13:H13" si="2">C9+C11+C12</f>
        <v>265270</v>
      </c>
      <c r="D13" s="27">
        <f t="shared" si="2"/>
        <v>132488.44099999999</v>
      </c>
      <c r="E13" s="27">
        <f t="shared" si="2"/>
        <v>156956.51903999998</v>
      </c>
      <c r="F13" s="27">
        <f t="shared" si="2"/>
        <v>182285.37730007994</v>
      </c>
      <c r="G13" s="27">
        <f t="shared" si="2"/>
        <v>209773.56487085274</v>
      </c>
      <c r="H13" s="27">
        <f t="shared" si="2"/>
        <v>239192.41179972899</v>
      </c>
    </row>
    <row r="14" spans="1:8" x14ac:dyDescent="0.25">
      <c r="B14" s="25" t="s">
        <v>97</v>
      </c>
      <c r="C14" s="26">
        <f t="shared" ref="C14:H14" si="3">IF(C6=0,0,C13/C6)</f>
        <v>1.0821958045381483</v>
      </c>
      <c r="D14" s="26">
        <f t="shared" si="3"/>
        <v>0.47</v>
      </c>
      <c r="E14" s="26">
        <f t="shared" si="3"/>
        <v>0.48</v>
      </c>
      <c r="F14" s="26">
        <f t="shared" si="3"/>
        <v>0.48899999999999993</v>
      </c>
      <c r="G14" s="26">
        <f t="shared" si="3"/>
        <v>0.498</v>
      </c>
      <c r="H14" s="26">
        <f t="shared" si="3"/>
        <v>0.50700000000000001</v>
      </c>
    </row>
    <row r="15" spans="1:8" x14ac:dyDescent="0.25">
      <c r="B15" s="17" t="s">
        <v>98</v>
      </c>
      <c r="C15" s="21">
        <v>13866</v>
      </c>
      <c r="D15" s="23">
        <f>D6*Assumptions!C18</f>
        <v>14658.295599999999</v>
      </c>
      <c r="E15" s="23">
        <f>E6*Assumptions!D18</f>
        <v>17330.615643999998</v>
      </c>
      <c r="F15" s="23">
        <f>F6*Assumptions!E18</f>
        <v>20129.673566879996</v>
      </c>
      <c r="G15" s="23">
        <f>G6*Assumptions!F18</f>
        <v>22746.531130574393</v>
      </c>
      <c r="H15" s="23">
        <f>H6*Assumptions!G18</f>
        <v>25947.894771173756</v>
      </c>
    </row>
    <row r="16" spans="1:8" x14ac:dyDescent="0.25">
      <c r="B16" s="15" t="s">
        <v>99</v>
      </c>
      <c r="C16" s="28">
        <f t="shared" ref="C16:H16" si="4">C13+C15</f>
        <v>279136</v>
      </c>
      <c r="D16" s="28">
        <f t="shared" si="4"/>
        <v>147146.7366</v>
      </c>
      <c r="E16" s="28">
        <f t="shared" si="4"/>
        <v>174287.13468399999</v>
      </c>
      <c r="F16" s="28">
        <f t="shared" si="4"/>
        <v>202415.05086695994</v>
      </c>
      <c r="G16" s="28">
        <f t="shared" si="4"/>
        <v>232520.09600142713</v>
      </c>
      <c r="H16" s="28">
        <f t="shared" si="4"/>
        <v>265140.30657090276</v>
      </c>
    </row>
    <row r="17" spans="2:8" x14ac:dyDescent="0.25">
      <c r="B17" s="54" t="s">
        <v>100</v>
      </c>
      <c r="C17" s="54"/>
      <c r="D17" s="54"/>
      <c r="E17" s="54"/>
      <c r="F17" s="54"/>
      <c r="G17" s="54"/>
      <c r="H17" s="54"/>
    </row>
    <row r="18" spans="2:8" x14ac:dyDescent="0.25">
      <c r="B18" s="17" t="s">
        <v>101</v>
      </c>
      <c r="C18" s="21">
        <v>3269</v>
      </c>
      <c r="D18" s="21">
        <v>3500</v>
      </c>
      <c r="E18" s="21">
        <v>3500</v>
      </c>
      <c r="F18" s="21">
        <v>3500</v>
      </c>
      <c r="G18" s="21">
        <v>3500</v>
      </c>
      <c r="H18" s="21">
        <v>3500</v>
      </c>
    </row>
    <row r="19" spans="2:8" x14ac:dyDescent="0.25">
      <c r="B19" s="15" t="s">
        <v>102</v>
      </c>
      <c r="C19" s="29">
        <f t="shared" ref="C19:H19" si="5">C13+C18</f>
        <v>268539</v>
      </c>
      <c r="D19" s="29">
        <f t="shared" si="5"/>
        <v>135988.44099999999</v>
      </c>
      <c r="E19" s="29">
        <f t="shared" si="5"/>
        <v>160456.51903999998</v>
      </c>
      <c r="F19" s="29">
        <f t="shared" si="5"/>
        <v>185785.37730007994</v>
      </c>
      <c r="G19" s="29">
        <f t="shared" si="5"/>
        <v>213273.56487085274</v>
      </c>
      <c r="H19" s="29">
        <f t="shared" si="5"/>
        <v>242692.41179972899</v>
      </c>
    </row>
    <row r="20" spans="2:8" x14ac:dyDescent="0.25">
      <c r="B20" s="17" t="s">
        <v>103</v>
      </c>
      <c r="C20" s="23">
        <f>-C19*Assumptions!C24</f>
        <v>-56393.189999999995</v>
      </c>
      <c r="D20" s="23">
        <f>-D19*Assumptions!C24</f>
        <v>-28557.572609999996</v>
      </c>
      <c r="E20" s="23">
        <f>-E19*Assumptions!C24</f>
        <v>-33695.868998399994</v>
      </c>
      <c r="F20" s="23">
        <f>-F19*Assumptions!C24</f>
        <v>-39014.929233016788</v>
      </c>
      <c r="G20" s="23">
        <f>-G19*Assumptions!C24</f>
        <v>-44787.448622879077</v>
      </c>
      <c r="H20" s="23">
        <f>-H19*Assumptions!C24</f>
        <v>-50965.406477943085</v>
      </c>
    </row>
    <row r="21" spans="2:8" x14ac:dyDescent="0.25">
      <c r="B21" s="15" t="s">
        <v>104</v>
      </c>
      <c r="C21" s="27">
        <f t="shared" ref="C21:H21" si="6">C19+C20</f>
        <v>212145.81</v>
      </c>
      <c r="D21" s="27">
        <f t="shared" si="6"/>
        <v>107430.86838999999</v>
      </c>
      <c r="E21" s="27">
        <f t="shared" si="6"/>
        <v>126760.65004159999</v>
      </c>
      <c r="F21" s="27">
        <f t="shared" si="6"/>
        <v>146770.44806706315</v>
      </c>
      <c r="G21" s="27">
        <f t="shared" si="6"/>
        <v>168486.11624797367</v>
      </c>
      <c r="H21" s="27">
        <f t="shared" si="6"/>
        <v>191727.00532178589</v>
      </c>
    </row>
    <row r="22" spans="2:8" x14ac:dyDescent="0.25">
      <c r="B22" s="25" t="s">
        <v>105</v>
      </c>
      <c r="C22" s="26">
        <f t="shared" ref="C22:H22" si="7">IF(C6=0,0,C21/C6)</f>
        <v>0.86547029642382156</v>
      </c>
      <c r="D22" s="26">
        <f t="shared" si="7"/>
        <v>0.38110878022408007</v>
      </c>
      <c r="E22" s="26">
        <f t="shared" si="7"/>
        <v>0.38765584502075873</v>
      </c>
      <c r="F22" s="26">
        <f t="shared" si="7"/>
        <v>0.39372740791294614</v>
      </c>
      <c r="G22" s="26">
        <f t="shared" si="7"/>
        <v>0.39998407779906747</v>
      </c>
      <c r="H22" s="26">
        <f t="shared" si="7"/>
        <v>0.40639078374916737</v>
      </c>
    </row>
  </sheetData>
  <mergeCells count="4">
    <mergeCell ref="A1:H1"/>
    <mergeCell ref="B5:H5"/>
    <mergeCell ref="B7:H7"/>
    <mergeCell ref="B17:H1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showGridLines="0" showRowColHeaders="0" zoomScaleNormal="100" workbookViewId="0">
      <selection sqref="A1:H1"/>
    </sheetView>
  </sheetViews>
  <sheetFormatPr defaultColWidth="8.7109375" defaultRowHeight="15" x14ac:dyDescent="0.25"/>
  <cols>
    <col min="1" max="1" width="3" customWidth="1"/>
    <col min="2" max="2" width="40" customWidth="1"/>
    <col min="3" max="8" width="16" customWidth="1"/>
  </cols>
  <sheetData>
    <row r="1" spans="1:8" ht="30" customHeight="1" x14ac:dyDescent="0.25">
      <c r="A1" s="52" t="s">
        <v>106</v>
      </c>
      <c r="B1" s="52"/>
      <c r="C1" s="52"/>
      <c r="D1" s="52"/>
      <c r="E1" s="52"/>
      <c r="F1" s="52"/>
      <c r="G1" s="52"/>
      <c r="H1" s="52"/>
    </row>
    <row r="3" spans="1:8" x14ac:dyDescent="0.25">
      <c r="B3" s="4"/>
      <c r="C3" s="4" t="s">
        <v>85</v>
      </c>
      <c r="D3" s="4" t="s">
        <v>58</v>
      </c>
      <c r="E3" s="4" t="s">
        <v>59</v>
      </c>
      <c r="F3" s="4" t="s">
        <v>60</v>
      </c>
      <c r="G3" s="4" t="s">
        <v>61</v>
      </c>
      <c r="H3" s="4" t="s">
        <v>62</v>
      </c>
    </row>
    <row r="4" spans="1:8" x14ac:dyDescent="0.25">
      <c r="B4" s="53" t="s">
        <v>107</v>
      </c>
      <c r="C4" s="53"/>
      <c r="D4" s="53"/>
      <c r="E4" s="53"/>
      <c r="F4" s="53"/>
      <c r="G4" s="53"/>
      <c r="H4" s="53"/>
    </row>
    <row r="5" spans="1:8" x14ac:dyDescent="0.25">
      <c r="B5" s="17" t="s">
        <v>104</v>
      </c>
      <c r="C5" s="30">
        <f>'Income Statement'!C21</f>
        <v>212145.81</v>
      </c>
      <c r="D5" s="30">
        <f>'Income Statement'!D21</f>
        <v>107430.86838999999</v>
      </c>
      <c r="E5" s="30">
        <f>'Income Statement'!E21</f>
        <v>126760.65004159999</v>
      </c>
      <c r="F5" s="30">
        <f>'Income Statement'!F21</f>
        <v>146770.44806706315</v>
      </c>
      <c r="G5" s="30">
        <f>'Income Statement'!G21</f>
        <v>168486.11624797367</v>
      </c>
      <c r="H5" s="30">
        <f>'Income Statement'!H21</f>
        <v>191727.00532178589</v>
      </c>
    </row>
    <row r="6" spans="1:8" x14ac:dyDescent="0.25">
      <c r="B6" s="17" t="s">
        <v>108</v>
      </c>
      <c r="C6" s="30">
        <f>'Income Statement'!C15</f>
        <v>13866</v>
      </c>
      <c r="D6" s="30">
        <f>'Income Statement'!D15</f>
        <v>14658.295599999999</v>
      </c>
      <c r="E6" s="30">
        <f>'Income Statement'!E15</f>
        <v>17330.615643999998</v>
      </c>
      <c r="F6" s="30">
        <f>'Income Statement'!F15</f>
        <v>20129.673566879996</v>
      </c>
      <c r="G6" s="30">
        <f>'Income Statement'!G15</f>
        <v>22746.531130574393</v>
      </c>
      <c r="H6" s="30">
        <f>'Income Statement'!H15</f>
        <v>25947.894771173756</v>
      </c>
    </row>
    <row r="7" spans="1:8" x14ac:dyDescent="0.25">
      <c r="B7" s="17" t="s">
        <v>109</v>
      </c>
      <c r="C7" s="21">
        <v>-2500</v>
      </c>
      <c r="D7" s="23">
        <f>-('Income Statement'!D6-'Income Statement'!C6)*Assumptions!C20</f>
        <v>-1838.4149999999995</v>
      </c>
      <c r="E7" s="23">
        <f>-('Income Statement'!E6-'Income Statement'!D6)*Assumptions!D20</f>
        <v>-2255.1223999999988</v>
      </c>
      <c r="F7" s="23">
        <f>-('Income Statement'!F6-'Income Statement'!E6)*Assumptions!E20</f>
        <v>-2288.9492359999977</v>
      </c>
      <c r="G7" s="23">
        <f>-('Income Statement'!G6-'Income Statement'!F6)*Assumptions!F20</f>
        <v>-2423.0162626799984</v>
      </c>
      <c r="H7" s="23">
        <f>-('Income Statement'!H6-'Income Statement'!G6)*Assumptions!G20</f>
        <v>-2527.3923478416023</v>
      </c>
    </row>
    <row r="8" spans="1:8" x14ac:dyDescent="0.25">
      <c r="B8" s="17" t="s">
        <v>110</v>
      </c>
      <c r="C8" s="21">
        <v>2000</v>
      </c>
      <c r="D8" s="21">
        <v>2000</v>
      </c>
      <c r="E8" s="21">
        <v>2000</v>
      </c>
      <c r="F8" s="21">
        <v>2000</v>
      </c>
      <c r="G8" s="21">
        <v>2000</v>
      </c>
      <c r="H8" s="21">
        <v>2000</v>
      </c>
    </row>
    <row r="9" spans="1:8" x14ac:dyDescent="0.25">
      <c r="B9" s="15" t="s">
        <v>111</v>
      </c>
      <c r="C9" s="27">
        <f t="shared" ref="C9:H9" si="0">SUM(C5:C8)</f>
        <v>225511.81</v>
      </c>
      <c r="D9" s="27">
        <f t="shared" si="0"/>
        <v>122250.74898999999</v>
      </c>
      <c r="E9" s="27">
        <f t="shared" si="0"/>
        <v>143836.1432856</v>
      </c>
      <c r="F9" s="27">
        <f t="shared" si="0"/>
        <v>166611.17239794316</v>
      </c>
      <c r="G9" s="27">
        <f t="shared" si="0"/>
        <v>190809.63111586805</v>
      </c>
      <c r="H9" s="27">
        <f t="shared" si="0"/>
        <v>217147.50774511803</v>
      </c>
    </row>
    <row r="10" spans="1:8" x14ac:dyDescent="0.25">
      <c r="B10" s="53" t="s">
        <v>112</v>
      </c>
      <c r="C10" s="53"/>
      <c r="D10" s="53"/>
      <c r="E10" s="53"/>
      <c r="F10" s="53"/>
      <c r="G10" s="53"/>
      <c r="H10" s="53"/>
    </row>
    <row r="11" spans="1:8" x14ac:dyDescent="0.25">
      <c r="B11" s="17" t="s">
        <v>113</v>
      </c>
      <c r="C11" s="21">
        <v>-44482</v>
      </c>
      <c r="D11" s="23">
        <f>-'Income Statement'!D6*Assumptions!C19</f>
        <v>-25370.126999999997</v>
      </c>
      <c r="E11" s="23">
        <f>-'Income Statement'!E6*Assumptions!D19</f>
        <v>-30083.332815999995</v>
      </c>
      <c r="F11" s="23">
        <f>-'Income Statement'!F6*Assumptions!E19</f>
        <v>-33549.455944799993</v>
      </c>
      <c r="G11" s="23">
        <f>-'Income Statement'!G6*Assumptions!F19</f>
        <v>-37068.421101676788</v>
      </c>
      <c r="H11" s="23">
        <f>-'Income Statement'!H6*Assumptions!G19</f>
        <v>-40573.071824017141</v>
      </c>
    </row>
    <row r="12" spans="1:8" x14ac:dyDescent="0.25">
      <c r="B12" s="15" t="s">
        <v>114</v>
      </c>
      <c r="C12" s="24">
        <f t="shared" ref="C12:H12" si="1">C11</f>
        <v>-44482</v>
      </c>
      <c r="D12" s="24">
        <f t="shared" si="1"/>
        <v>-25370.126999999997</v>
      </c>
      <c r="E12" s="24">
        <f t="shared" si="1"/>
        <v>-30083.332815999995</v>
      </c>
      <c r="F12" s="24">
        <f t="shared" si="1"/>
        <v>-33549.455944799993</v>
      </c>
      <c r="G12" s="24">
        <f t="shared" si="1"/>
        <v>-37068.421101676788</v>
      </c>
      <c r="H12" s="24">
        <f t="shared" si="1"/>
        <v>-40573.071824017141</v>
      </c>
    </row>
    <row r="13" spans="1:8" x14ac:dyDescent="0.25">
      <c r="B13" s="53" t="s">
        <v>115</v>
      </c>
      <c r="C13" s="53"/>
      <c r="D13" s="53"/>
      <c r="E13" s="53"/>
      <c r="F13" s="53"/>
      <c r="G13" s="53"/>
      <c r="H13" s="53"/>
    </row>
    <row r="14" spans="1:8" x14ac:dyDescent="0.25">
      <c r="B14" s="15" t="s">
        <v>116</v>
      </c>
      <c r="C14" s="28">
        <f t="shared" ref="C14:H14" si="2">C9+C11</f>
        <v>181029.81</v>
      </c>
      <c r="D14" s="28">
        <f t="shared" si="2"/>
        <v>96880.62199</v>
      </c>
      <c r="E14" s="28">
        <f t="shared" si="2"/>
        <v>113752.81046960001</v>
      </c>
      <c r="F14" s="28">
        <f t="shared" si="2"/>
        <v>133061.71645314316</v>
      </c>
      <c r="G14" s="28">
        <f t="shared" si="2"/>
        <v>153741.21001419125</v>
      </c>
      <c r="H14" s="28">
        <f t="shared" si="2"/>
        <v>176574.4359211009</v>
      </c>
    </row>
  </sheetData>
  <mergeCells count="4">
    <mergeCell ref="A1:H1"/>
    <mergeCell ref="B4:H4"/>
    <mergeCell ref="B10:H10"/>
    <mergeCell ref="B13:H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5"/>
  <sheetViews>
    <sheetView showGridLines="0" showRowColHeaders="0" topLeftCell="A9" zoomScaleNormal="100" workbookViewId="0">
      <selection activeCell="C11" sqref="C11"/>
    </sheetView>
  </sheetViews>
  <sheetFormatPr defaultColWidth="8.7109375" defaultRowHeight="15" x14ac:dyDescent="0.25"/>
  <cols>
    <col min="1" max="1" width="3" customWidth="1"/>
    <col min="2" max="2" width="40" customWidth="1"/>
    <col min="3" max="9" width="16" customWidth="1"/>
  </cols>
  <sheetData>
    <row r="1" spans="1:9" ht="30" customHeight="1" x14ac:dyDescent="0.25">
      <c r="A1" s="52" t="s">
        <v>117</v>
      </c>
      <c r="B1" s="52"/>
      <c r="C1" s="52"/>
      <c r="D1" s="52"/>
      <c r="E1" s="52"/>
      <c r="F1" s="52"/>
      <c r="G1" s="52"/>
      <c r="H1" s="52"/>
      <c r="I1" s="52"/>
    </row>
    <row r="3" spans="1:9" x14ac:dyDescent="0.25">
      <c r="B3" s="4"/>
      <c r="C3" s="4" t="s">
        <v>58</v>
      </c>
      <c r="D3" s="4" t="s">
        <v>59</v>
      </c>
      <c r="E3" s="4" t="s">
        <v>60</v>
      </c>
      <c r="F3" s="4" t="s">
        <v>61</v>
      </c>
      <c r="G3" s="4" t="s">
        <v>62</v>
      </c>
    </row>
    <row r="4" spans="1:9" x14ac:dyDescent="0.25">
      <c r="B4" s="53" t="s">
        <v>118</v>
      </c>
      <c r="C4" s="53"/>
      <c r="D4" s="53"/>
      <c r="E4" s="53"/>
      <c r="F4" s="53"/>
      <c r="G4" s="53"/>
    </row>
    <row r="5" spans="1:9" x14ac:dyDescent="0.25">
      <c r="B5" s="17" t="s">
        <v>119</v>
      </c>
      <c r="C5" s="30">
        <f>'Cash Flow Statement'!D14</f>
        <v>96880.62199</v>
      </c>
      <c r="D5" s="30">
        <f>'Cash Flow Statement'!E14</f>
        <v>113752.81046960001</v>
      </c>
      <c r="E5" s="30">
        <f>'Cash Flow Statement'!F14</f>
        <v>133061.71645314316</v>
      </c>
      <c r="F5" s="30">
        <f>'Cash Flow Statement'!G14</f>
        <v>153741.21001419125</v>
      </c>
      <c r="G5" s="30">
        <f>'Cash Flow Statement'!H14</f>
        <v>176574.4359211009</v>
      </c>
    </row>
    <row r="6" spans="1:9" x14ac:dyDescent="0.25">
      <c r="B6" s="25" t="s">
        <v>120</v>
      </c>
      <c r="C6" s="31">
        <f>1/(1+Assumptions!C25)^1</f>
        <v>0.91324200913242015</v>
      </c>
      <c r="D6" s="31">
        <f>1/(1+Assumptions!C25)^2</f>
        <v>0.8340109672442193</v>
      </c>
      <c r="E6" s="31">
        <f>1/(1+Assumptions!C25)^3</f>
        <v>0.76165385136458386</v>
      </c>
      <c r="F6" s="31">
        <f>1/(1+Assumptions!C25)^4</f>
        <v>0.6955742934836382</v>
      </c>
      <c r="G6" s="31">
        <f>1/(1+Assumptions!C25)^5</f>
        <v>0.63522766528186136</v>
      </c>
    </row>
    <row r="7" spans="1:9" x14ac:dyDescent="0.25">
      <c r="B7" s="15" t="s">
        <v>121</v>
      </c>
      <c r="C7" s="32">
        <f>C5*C6</f>
        <v>88475.453872146129</v>
      </c>
      <c r="D7" s="32">
        <f>D5*D6</f>
        <v>94871.091486499456</v>
      </c>
      <c r="E7" s="32">
        <f>E5*E6</f>
        <v>101346.9688057187</v>
      </c>
      <c r="F7" s="32">
        <f>F5*F6</f>
        <v>106938.43353494072</v>
      </c>
      <c r="G7" s="32">
        <f>G5*G6</f>
        <v>112164.96667862256</v>
      </c>
    </row>
    <row r="8" spans="1:9" x14ac:dyDescent="0.25">
      <c r="B8" s="53" t="s">
        <v>122</v>
      </c>
      <c r="C8" s="53"/>
      <c r="D8" s="53"/>
      <c r="E8" s="53"/>
      <c r="F8" s="53"/>
      <c r="G8" s="53"/>
    </row>
    <row r="9" spans="1:9" x14ac:dyDescent="0.25">
      <c r="B9" s="17" t="s">
        <v>123</v>
      </c>
      <c r="C9" s="30">
        <f>'Income Statement'!H16</f>
        <v>265140.30657090276</v>
      </c>
    </row>
    <row r="10" spans="1:9" x14ac:dyDescent="0.25">
      <c r="B10" s="15" t="s">
        <v>124</v>
      </c>
      <c r="C10" s="29">
        <f>C9*('Tornado Analysis'!J22+'Tornado Analysis'!H28)</f>
        <v>7423928.5839852775</v>
      </c>
    </row>
    <row r="11" spans="1:9" x14ac:dyDescent="0.25">
      <c r="B11" s="15" t="s">
        <v>125</v>
      </c>
      <c r="C11" s="33">
        <f>C10/(1+Assumptions!C25)^5</f>
        <v>4715884.8216242427</v>
      </c>
    </row>
    <row r="12" spans="1:9" x14ac:dyDescent="0.25">
      <c r="B12" s="25" t="s">
        <v>126</v>
      </c>
      <c r="C12" s="34">
        <f>'Cash Flow Statement'!H14*(1+Assumptions!C26)/(Assumptions!C25-Assumptions!C26)</f>
        <v>2798025.6769035985</v>
      </c>
    </row>
    <row r="13" spans="1:9" x14ac:dyDescent="0.25">
      <c r="B13" s="25" t="s">
        <v>127</v>
      </c>
      <c r="C13" s="34">
        <f>C12/(1+Assumptions!C25)^5</f>
        <v>1777383.3181381726</v>
      </c>
    </row>
    <row r="16" spans="1:9" x14ac:dyDescent="0.25">
      <c r="B16" s="53" t="s">
        <v>128</v>
      </c>
      <c r="C16" s="53"/>
      <c r="D16" s="53"/>
      <c r="E16" s="53"/>
    </row>
    <row r="17" spans="2:3" x14ac:dyDescent="0.25">
      <c r="B17" s="17" t="s">
        <v>129</v>
      </c>
      <c r="C17" s="23">
        <f>SUM(C7:G7)</f>
        <v>503796.91437792755</v>
      </c>
    </row>
    <row r="18" spans="2:3" x14ac:dyDescent="0.25">
      <c r="B18" s="17" t="s">
        <v>130</v>
      </c>
      <c r="C18" s="23">
        <f>C11</f>
        <v>4715884.8216242427</v>
      </c>
    </row>
    <row r="19" spans="2:3" x14ac:dyDescent="0.25">
      <c r="B19" s="15" t="s">
        <v>131</v>
      </c>
      <c r="C19" s="35">
        <f>C17+C18</f>
        <v>5219681.7360021705</v>
      </c>
    </row>
    <row r="20" spans="2:3" x14ac:dyDescent="0.25">
      <c r="B20" s="17" t="s">
        <v>132</v>
      </c>
      <c r="C20" s="23">
        <f>Assumptions!C29</f>
        <v>-20000</v>
      </c>
    </row>
    <row r="21" spans="2:3" x14ac:dyDescent="0.25">
      <c r="B21" s="15" t="s">
        <v>133</v>
      </c>
      <c r="C21" s="33">
        <f>C19-C20</f>
        <v>5239681.7360021705</v>
      </c>
    </row>
    <row r="22" spans="2:3" x14ac:dyDescent="0.25">
      <c r="B22" s="17" t="s">
        <v>134</v>
      </c>
      <c r="C22" s="36">
        <f>Assumptions!C28</f>
        <v>7435</v>
      </c>
    </row>
    <row r="23" spans="2:3" ht="18" x14ac:dyDescent="0.25">
      <c r="B23" s="37" t="s">
        <v>135</v>
      </c>
      <c r="C23" s="38">
        <f>C21/C22</f>
        <v>704.73190800298187</v>
      </c>
    </row>
    <row r="24" spans="2:3" x14ac:dyDescent="0.25">
      <c r="B24" s="25" t="s">
        <v>136</v>
      </c>
      <c r="C24" s="39">
        <v>450</v>
      </c>
    </row>
    <row r="25" spans="2:3" x14ac:dyDescent="0.25">
      <c r="B25" s="25" t="s">
        <v>137</v>
      </c>
      <c r="C25" s="40">
        <f>C23/C24-1</f>
        <v>0.56607090667329296</v>
      </c>
    </row>
  </sheetData>
  <mergeCells count="4">
    <mergeCell ref="A1:I1"/>
    <mergeCell ref="B4:G4"/>
    <mergeCell ref="B8:G8"/>
    <mergeCell ref="B16:E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3"/>
  <sheetViews>
    <sheetView showGridLines="0" showRowColHeaders="0" topLeftCell="A22" zoomScaleNormal="100" workbookViewId="0">
      <selection activeCell="D33" sqref="D33"/>
    </sheetView>
  </sheetViews>
  <sheetFormatPr defaultColWidth="8.7109375" defaultRowHeight="15" x14ac:dyDescent="0.25"/>
  <cols>
    <col min="1" max="1" width="3" customWidth="1"/>
    <col min="2" max="2" width="26" customWidth="1"/>
    <col min="3" max="12" width="13" customWidth="1"/>
  </cols>
  <sheetData>
    <row r="1" spans="1:12" ht="30" customHeight="1" x14ac:dyDescent="0.25">
      <c r="A1" s="52" t="s">
        <v>138</v>
      </c>
      <c r="B1" s="52"/>
      <c r="C1" s="52"/>
      <c r="D1" s="52"/>
      <c r="E1" s="52"/>
      <c r="F1" s="52"/>
      <c r="G1" s="52"/>
      <c r="H1" s="52"/>
      <c r="I1" s="52"/>
      <c r="J1" s="52"/>
      <c r="K1" s="52"/>
      <c r="L1" s="52"/>
    </row>
    <row r="2" spans="1:12" x14ac:dyDescent="0.25">
      <c r="A2" s="67" t="s">
        <v>139</v>
      </c>
      <c r="B2" s="67"/>
      <c r="C2" s="67"/>
      <c r="D2" s="67"/>
      <c r="E2" s="67"/>
      <c r="F2" s="67"/>
      <c r="G2" s="67"/>
      <c r="H2" s="67"/>
      <c r="I2" s="67"/>
      <c r="J2" s="67"/>
      <c r="K2" s="67"/>
      <c r="L2" s="67"/>
    </row>
    <row r="5" spans="1:12" x14ac:dyDescent="0.25">
      <c r="B5" s="53" t="s">
        <v>140</v>
      </c>
      <c r="C5" s="53"/>
      <c r="D5" s="53"/>
      <c r="E5" s="53"/>
      <c r="F5" s="53"/>
      <c r="G5" s="53"/>
      <c r="H5" s="53"/>
      <c r="I5" s="53"/>
      <c r="J5" s="53"/>
    </row>
    <row r="6" spans="1:12" x14ac:dyDescent="0.25">
      <c r="B6" s="41" t="s">
        <v>141</v>
      </c>
      <c r="C6" s="42" t="s">
        <v>142</v>
      </c>
      <c r="D6" s="42" t="s">
        <v>143</v>
      </c>
      <c r="E6" s="42" t="s">
        <v>144</v>
      </c>
      <c r="F6" s="42" t="s">
        <v>145</v>
      </c>
      <c r="G6" s="42" t="s">
        <v>146</v>
      </c>
      <c r="H6" s="42" t="s">
        <v>147</v>
      </c>
      <c r="I6" s="42" t="s">
        <v>148</v>
      </c>
      <c r="J6" s="42" t="s">
        <v>149</v>
      </c>
    </row>
    <row r="7" spans="1:12" x14ac:dyDescent="0.25">
      <c r="B7" s="42" t="s">
        <v>150</v>
      </c>
      <c r="C7" s="43">
        <f>('Cash Flow Statement'!D14*(1/(1+0.075)^1)+'Cash Flow Statement'!E14*(1/(1+0.075)^2)+'Cash Flow Statement'!F14*(1/(1+0.075)^3)+'Cash Flow Statement'!G14*(1/(1+0.075)^4)+'Cash Flow Statement'!H14*(1/(1+0.075)^5)+('Income Statement'!H16*20)/(1+0.075)^5-Assumptions!C29)/Assumptions!C28</f>
        <v>571.2839669312649</v>
      </c>
      <c r="D7" s="43">
        <f>('Cash Flow Statement'!D14*(1/(1+0.075)^1)+'Cash Flow Statement'!E14*(1/(1+0.075)^2)+'Cash Flow Statement'!F14*(1/(1+0.075)^3)+'Cash Flow Statement'!G14*(1/(1+0.075)^4)+'Cash Flow Statement'!H14*(1/(1+0.075)^5)+('Income Statement'!H16*22)/(1+0.075)^5-Assumptions!C29)/Assumptions!C28</f>
        <v>620.96406627919191</v>
      </c>
      <c r="E7" s="43">
        <f>('Cash Flow Statement'!D14*(1/(1+0.075)^1)+'Cash Flow Statement'!E14*(1/(1+0.075)^2)+'Cash Flow Statement'!F14*(1/(1+0.075)^3)+'Cash Flow Statement'!G14*(1/(1+0.075)^4)+'Cash Flow Statement'!H14*(1/(1+0.075)^5)+('Income Statement'!H16*24)/(1+0.075)^5-Assumptions!C29)/Assumptions!C28</f>
        <v>670.64416562711881</v>
      </c>
      <c r="F7" s="43">
        <f>('Cash Flow Statement'!D14*(1/(1+0.075)^1)+'Cash Flow Statement'!E14*(1/(1+0.075)^2)+'Cash Flow Statement'!F14*(1/(1+0.075)^3)+'Cash Flow Statement'!G14*(1/(1+0.075)^4)+'Cash Flow Statement'!H14*(1/(1+0.075)^5)+('Income Statement'!H16*26)/(1+0.075)^5-Assumptions!C29)/Assumptions!C28</f>
        <v>720.32426497504582</v>
      </c>
      <c r="G7" s="43">
        <f>('Cash Flow Statement'!D14*(1/(1+0.075)^1)+'Cash Flow Statement'!E14*(1/(1+0.075)^2)+'Cash Flow Statement'!F14*(1/(1+0.075)^3)+'Cash Flow Statement'!G14*(1/(1+0.075)^4)+'Cash Flow Statement'!H14*(1/(1+0.075)^5)+('Income Statement'!H16*28)/(1+0.075)^5-Assumptions!C29)/Assumptions!C28</f>
        <v>770.00436432297283</v>
      </c>
      <c r="H7" s="43">
        <f>('Cash Flow Statement'!D14*(1/(1+0.075)^1)+'Cash Flow Statement'!E14*(1/(1+0.075)^2)+'Cash Flow Statement'!F14*(1/(1+0.075)^3)+'Cash Flow Statement'!G14*(1/(1+0.075)^4)+'Cash Flow Statement'!H14*(1/(1+0.075)^5)+('Income Statement'!H16*30)/(1+0.075)^5-Assumptions!C29)/Assumptions!C28</f>
        <v>819.68446367089973</v>
      </c>
      <c r="I7" s="43">
        <f>('Cash Flow Statement'!D14*(1/(1+0.075)^1)+'Cash Flow Statement'!E14*(1/(1+0.075)^2)+'Cash Flow Statement'!F14*(1/(1+0.075)^3)+'Cash Flow Statement'!G14*(1/(1+0.075)^4)+'Cash Flow Statement'!H14*(1/(1+0.075)^5)+('Income Statement'!H16*32)/(1+0.075)^5-Assumptions!C29)/Assumptions!C28</f>
        <v>869.36456301882674</v>
      </c>
      <c r="J7" s="43">
        <f>('Cash Flow Statement'!D14*(1/(1+0.075)^1)+'Cash Flow Statement'!E14*(1/(1+0.075)^2)+'Cash Flow Statement'!F14*(1/(1+0.075)^3)+'Cash Flow Statement'!G14*(1/(1+0.075)^4)+'Cash Flow Statement'!H14*(1/(1+0.075)^5)+('Income Statement'!H16*34)/(1+0.075)^5-Assumptions!C29)/Assumptions!C28</f>
        <v>919.04466236675364</v>
      </c>
    </row>
    <row r="8" spans="1:12" x14ac:dyDescent="0.25">
      <c r="B8" s="42" t="s">
        <v>151</v>
      </c>
      <c r="C8" s="43">
        <f>('Cash Flow Statement'!D14*(1/(1+0.08)^1)+'Cash Flow Statement'!E14*(1/(1+0.08)^2)+'Cash Flow Statement'!F14*(1/(1+0.08)^3)+'Cash Flow Statement'!G14*(1/(1+0.08)^4)+'Cash Flow Statement'!H14*(1/(1+0.08)^5)+('Income Statement'!H16*20)/(1+0.08)^5-Assumptions!C29)/Assumptions!C28</f>
        <v>558.84820225556962</v>
      </c>
      <c r="D8" s="43">
        <f>('Cash Flow Statement'!D14*(1/(1+0.08)^1)+'Cash Flow Statement'!E14*(1/(1+0.08)^2)+'Cash Flow Statement'!F14*(1/(1+0.08)^3)+'Cash Flow Statement'!G14*(1/(1+0.08)^4)+'Cash Flow Statement'!H14*(1/(1+0.08)^5)+('Income Statement'!H16*22)/(1+0.08)^5-Assumptions!C29)/Assumptions!C28</f>
        <v>607.38889829014511</v>
      </c>
      <c r="E8" s="43">
        <f>('Cash Flow Statement'!D14*(1/(1+0.08)^1)+'Cash Flow Statement'!E14*(1/(1+0.08)^2)+'Cash Flow Statement'!F14*(1/(1+0.08)^3)+'Cash Flow Statement'!G14*(1/(1+0.08)^4)+'Cash Flow Statement'!H14*(1/(1+0.08)^5)+('Income Statement'!H16*24)/(1+0.08)^5-Assumptions!C29)/Assumptions!C28</f>
        <v>655.9295943247206</v>
      </c>
      <c r="F8" s="43">
        <f>('Cash Flow Statement'!D14*(1/(1+0.08)^1)+'Cash Flow Statement'!E14*(1/(1+0.08)^2)+'Cash Flow Statement'!F14*(1/(1+0.08)^3)+'Cash Flow Statement'!G14*(1/(1+0.08)^4)+'Cash Flow Statement'!H14*(1/(1+0.08)^5)+('Income Statement'!H16*26)/(1+0.08)^5-Assumptions!C29)/Assumptions!C28</f>
        <v>704.47029035929609</v>
      </c>
      <c r="G8" s="43">
        <f>('Cash Flow Statement'!D14*(1/(1+0.08)^1)+'Cash Flow Statement'!E14*(1/(1+0.08)^2)+'Cash Flow Statement'!F14*(1/(1+0.08)^3)+'Cash Flow Statement'!G14*(1/(1+0.08)^4)+'Cash Flow Statement'!H14*(1/(1+0.08)^5)+('Income Statement'!H16*28)/(1+0.08)^5-Assumptions!C29)/Assumptions!C28</f>
        <v>753.01098639387158</v>
      </c>
      <c r="H8" s="43">
        <f>('Cash Flow Statement'!D14*(1/(1+0.08)^1)+'Cash Flow Statement'!E14*(1/(1+0.08)^2)+'Cash Flow Statement'!F14*(1/(1+0.08)^3)+'Cash Flow Statement'!G14*(1/(1+0.08)^4)+'Cash Flow Statement'!H14*(1/(1+0.08)^5)+('Income Statement'!H16*30)/(1+0.08)^5-Assumptions!C29)/Assumptions!C28</f>
        <v>801.55168242844707</v>
      </c>
      <c r="I8" s="43">
        <f>('Cash Flow Statement'!D14*(1/(1+0.08)^1)+'Cash Flow Statement'!E14*(1/(1+0.08)^2)+'Cash Flow Statement'!F14*(1/(1+0.08)^3)+'Cash Flow Statement'!G14*(1/(1+0.08)^4)+'Cash Flow Statement'!H14*(1/(1+0.08)^5)+('Income Statement'!H16*32)/(1+0.08)^5-Assumptions!C29)/Assumptions!C28</f>
        <v>850.09237846302256</v>
      </c>
      <c r="J8" s="43">
        <f>('Cash Flow Statement'!D14*(1/(1+0.08)^1)+'Cash Flow Statement'!E14*(1/(1+0.08)^2)+'Cash Flow Statement'!F14*(1/(1+0.08)^3)+'Cash Flow Statement'!G14*(1/(1+0.08)^4)+'Cash Flow Statement'!H14*(1/(1+0.08)^5)+('Income Statement'!H16*34)/(1+0.08)^5-Assumptions!C29)/Assumptions!C28</f>
        <v>898.63307449759805</v>
      </c>
    </row>
    <row r="9" spans="1:12" x14ac:dyDescent="0.25">
      <c r="B9" s="42" t="s">
        <v>152</v>
      </c>
      <c r="C9" s="43">
        <f>('Cash Flow Statement'!D14*(1/(1+0.085)^1)+'Cash Flow Statement'!E14*(1/(1+0.085)^2)+'Cash Flow Statement'!F14*(1/(1+0.085)^3)+'Cash Flow Statement'!G14*(1/(1+0.085)^4)+'Cash Flow Statement'!H14*(1/(1+0.085)^5)+('Income Statement'!H16*20)/(1+0.085)^5-Assumptions!C29)/Assumptions!C28</f>
        <v>546.74735572696909</v>
      </c>
      <c r="D9" s="43">
        <f>('Cash Flow Statement'!D14*(1/(1+0.085)^1)+'Cash Flow Statement'!E14*(1/(1+0.085)^2)+'Cash Flow Statement'!F14*(1/(1+0.085)^3)+'Cash Flow Statement'!G14*(1/(1+0.085)^4)+'Cash Flow Statement'!H14*(1/(1+0.085)^5)+('Income Statement'!H16*22)/(1+0.085)^5-Assumptions!C29)/Assumptions!C28</f>
        <v>594.17986343760037</v>
      </c>
      <c r="E9" s="43">
        <f>('Cash Flow Statement'!D14*(1/(1+0.085)^1)+'Cash Flow Statement'!E14*(1/(1+0.085)^2)+'Cash Flow Statement'!F14*(1/(1+0.085)^3)+'Cash Flow Statement'!G14*(1/(1+0.085)^4)+'Cash Flow Statement'!H14*(1/(1+0.085)^5)+('Income Statement'!H16*24)/(1+0.085)^5-Assumptions!C29)/Assumptions!C28</f>
        <v>641.61237114823166</v>
      </c>
      <c r="F9" s="43">
        <f>('Cash Flow Statement'!D14*(1/(1+0.085)^1)+'Cash Flow Statement'!E14*(1/(1+0.085)^2)+'Cash Flow Statement'!F14*(1/(1+0.085)^3)+'Cash Flow Statement'!G14*(1/(1+0.085)^4)+'Cash Flow Statement'!H14*(1/(1+0.085)^5)+('Income Statement'!H16*26)/(1+0.085)^5-Assumptions!C29)/Assumptions!C28</f>
        <v>689.04487885886283</v>
      </c>
      <c r="G9" s="43">
        <f>('Cash Flow Statement'!D14*(1/(1+0.085)^1)+'Cash Flow Statement'!E14*(1/(1+0.085)^2)+'Cash Flow Statement'!F14*(1/(1+0.085)^3)+'Cash Flow Statement'!G14*(1/(1+0.085)^4)+'Cash Flow Statement'!H14*(1/(1+0.085)^5)+('Income Statement'!H16*28)/(1+0.085)^5-Assumptions!C29)/Assumptions!C28</f>
        <v>736.47738656949423</v>
      </c>
      <c r="H9" s="43">
        <f>('Cash Flow Statement'!D14*(1/(1+0.085)^1)+'Cash Flow Statement'!E14*(1/(1+0.085)^2)+'Cash Flow Statement'!F14*(1/(1+0.085)^3)+'Cash Flow Statement'!G14*(1/(1+0.085)^4)+'Cash Flow Statement'!H14*(1/(1+0.085)^5)+('Income Statement'!H16*30)/(1+0.085)^5-Assumptions!C29)/Assumptions!C28</f>
        <v>783.90989428012551</v>
      </c>
      <c r="I9" s="43">
        <f>('Cash Flow Statement'!D14*(1/(1+0.085)^1)+'Cash Flow Statement'!E14*(1/(1+0.085)^2)+'Cash Flow Statement'!F14*(1/(1+0.085)^3)+'Cash Flow Statement'!G14*(1/(1+0.085)^4)+'Cash Flow Statement'!H14*(1/(1+0.085)^5)+('Income Statement'!H16*32)/(1+0.085)^5-Assumptions!C29)/Assumptions!C28</f>
        <v>831.3424019907568</v>
      </c>
      <c r="J9" s="43">
        <f>('Cash Flow Statement'!D14*(1/(1+0.085)^1)+'Cash Flow Statement'!E14*(1/(1+0.085)^2)+'Cash Flow Statement'!F14*(1/(1+0.085)^3)+'Cash Flow Statement'!G14*(1/(1+0.085)^4)+'Cash Flow Statement'!H14*(1/(1+0.085)^5)+('Income Statement'!H16*34)/(1+0.085)^5-Assumptions!C29)/Assumptions!C28</f>
        <v>878.77490970138797</v>
      </c>
    </row>
    <row r="10" spans="1:12" x14ac:dyDescent="0.25">
      <c r="B10" s="42" t="s">
        <v>153</v>
      </c>
      <c r="C10" s="43">
        <f>('Cash Flow Statement'!D14*(1/(1+0.09)^1)+'Cash Flow Statement'!E14*(1/(1+0.09)^2)+'Cash Flow Statement'!F14*(1/(1+0.09)^3)+'Cash Flow Statement'!G14*(1/(1+0.09)^4)+'Cash Flow Statement'!H14*(1/(1+0.09)^5)+('Income Statement'!H16*20)/(1+0.09)^5-Assumptions!C29)/Assumptions!C28</f>
        <v>534.9708656277669</v>
      </c>
      <c r="D10" s="43">
        <f>('Cash Flow Statement'!D14*(1/(1+0.09)^1)+'Cash Flow Statement'!E14*(1/(1+0.09)^2)+'Cash Flow Statement'!F14*(1/(1+0.09)^3)+'Cash Flow Statement'!G14*(1/(1+0.09)^4)+'Cash Flow Statement'!H14*(1/(1+0.09)^5)+('Income Statement'!H16*22)/(1+0.09)^5-Assumptions!C29)/Assumptions!C28</f>
        <v>581.32540685525726</v>
      </c>
      <c r="E10" s="43">
        <f>('Cash Flow Statement'!D14*(1/(1+0.09)^1)+'Cash Flow Statement'!E14*(1/(1+0.09)^2)+'Cash Flow Statement'!F14*(1/(1+0.09)^3)+'Cash Flow Statement'!G14*(1/(1+0.09)^4)+'Cash Flow Statement'!H14*(1/(1+0.09)^5)+('Income Statement'!H16*24)/(1+0.09)^5-Assumptions!C29)/Assumptions!C28</f>
        <v>627.6799480827475</v>
      </c>
      <c r="F10" s="43">
        <f>('Cash Flow Statement'!D14*(1/(1+0.09)^1)+'Cash Flow Statement'!E14*(1/(1+0.09)^2)+'Cash Flow Statement'!F14*(1/(1+0.09)^3)+'Cash Flow Statement'!G14*(1/(1+0.09)^4)+'Cash Flow Statement'!H14*(1/(1+0.09)^5)+('Income Statement'!H16*26)/(1+0.09)^5-Assumptions!C29)/Assumptions!C28</f>
        <v>674.03448931023775</v>
      </c>
      <c r="G10" s="43">
        <f>('Cash Flow Statement'!D14*(1/(1+0.09)^1)+'Cash Flow Statement'!E14*(1/(1+0.09)^2)+'Cash Flow Statement'!F14*(1/(1+0.09)^3)+'Cash Flow Statement'!G14*(1/(1+0.09)^4)+'Cash Flow Statement'!H14*(1/(1+0.09)^5)+('Income Statement'!H16*28)/(1+0.09)^5-Assumptions!C29)/Assumptions!C28</f>
        <v>720.38903053772799</v>
      </c>
      <c r="H10" s="43">
        <f>('Cash Flow Statement'!D14*(1/(1+0.09)^1)+'Cash Flow Statement'!E14*(1/(1+0.09)^2)+'Cash Flow Statement'!F14*(1/(1+0.09)^3)+'Cash Flow Statement'!G14*(1/(1+0.09)^4)+'Cash Flow Statement'!H14*(1/(1+0.09)^5)+('Income Statement'!H16*30)/(1+0.09)^5-Assumptions!C29)/Assumptions!C28</f>
        <v>766.74357176521835</v>
      </c>
      <c r="I10" s="43">
        <f>('Cash Flow Statement'!D14*(1/(1+0.09)^1)+'Cash Flow Statement'!E14*(1/(1+0.09)^2)+'Cash Flow Statement'!F14*(1/(1+0.09)^3)+'Cash Flow Statement'!G14*(1/(1+0.09)^4)+'Cash Flow Statement'!H14*(1/(1+0.09)^5)+('Income Statement'!H16*32)/(1+0.09)^5-Assumptions!C29)/Assumptions!C28</f>
        <v>813.09811299270859</v>
      </c>
      <c r="J10" s="43">
        <f>('Cash Flow Statement'!D14*(1/(1+0.09)^1)+'Cash Flow Statement'!E14*(1/(1+0.09)^2)+'Cash Flow Statement'!F14*(1/(1+0.09)^3)+'Cash Flow Statement'!G14*(1/(1+0.09)^4)+'Cash Flow Statement'!H14*(1/(1+0.09)^5)+('Income Statement'!H16*34)/(1+0.09)^5-Assumptions!C29)/Assumptions!C28</f>
        <v>859.45265422019872</v>
      </c>
    </row>
    <row r="11" spans="1:12" x14ac:dyDescent="0.25">
      <c r="B11" s="42" t="s">
        <v>38</v>
      </c>
      <c r="C11" s="43">
        <f>('Cash Flow Statement'!D14*(1/(1+0.095)^1)+'Cash Flow Statement'!E14*(1/(1+0.095)^2)+'Cash Flow Statement'!F14*(1/(1+0.095)^3)+'Cash Flow Statement'!G14*(1/(1+0.095)^4)+'Cash Flow Statement'!H14*(1/(1+0.095)^5)+('Income Statement'!H16*20)/(1+0.095)^5-Assumptions!C29)/Assumptions!C28</f>
        <v>523.50855046146035</v>
      </c>
      <c r="D11" s="43">
        <f>('Cash Flow Statement'!D14*(1/(1+0.095)^1)+'Cash Flow Statement'!E14*(1/(1+0.095)^2)+'Cash Flow Statement'!F14*(1/(1+0.095)^3)+'Cash Flow Statement'!G14*(1/(1+0.095)^4)+'Cash Flow Statement'!H14*(1/(1+0.095)^5)+('Income Statement'!H16*22)/(1+0.095)^5-Assumptions!C29)/Assumptions!C28</f>
        <v>568.81438984684087</v>
      </c>
      <c r="E11" s="43">
        <f>('Cash Flow Statement'!D14*(1/(1+0.095)^1)+'Cash Flow Statement'!E14*(1/(1+0.095)^2)+'Cash Flow Statement'!F14*(1/(1+0.095)^3)+'Cash Flow Statement'!G14*(1/(1+0.095)^4)+'Cash Flow Statement'!H14*(1/(1+0.095)^5)+('Income Statement'!H16*24)/(1+0.095)^5-Assumptions!C29)/Assumptions!C28</f>
        <v>614.12022923222116</v>
      </c>
      <c r="F11" s="43">
        <f>('Cash Flow Statement'!D14*(1/(1+0.095)^1)+'Cash Flow Statement'!E14*(1/(1+0.095)^2)+'Cash Flow Statement'!F14*(1/(1+0.095)^3)+'Cash Flow Statement'!G14*(1/(1+0.095)^4)+'Cash Flow Statement'!H14*(1/(1+0.095)^5)+('Income Statement'!H16*26)/(1+0.095)^5-Assumptions!C29)/Assumptions!C28</f>
        <v>659.42606861760157</v>
      </c>
      <c r="G11" s="44">
        <f>('Cash Flow Statement'!D14*(1/(1+0.095)^1)+'Cash Flow Statement'!E14*(1/(1+0.095)^2)+'Cash Flow Statement'!F14*(1/(1+0.095)^3)+'Cash Flow Statement'!G14*(1/(1+0.095)^4)+'Cash Flow Statement'!H14*(1/(1+0.095)^5)+('Income Statement'!H16*28)/(1+0.095)^5-Assumptions!C29)/Assumptions!C28</f>
        <v>704.73190800298187</v>
      </c>
      <c r="H11" s="43">
        <f>('Cash Flow Statement'!D14*(1/(1+0.095)^1)+'Cash Flow Statement'!E14*(1/(1+0.095)^2)+'Cash Flow Statement'!F14*(1/(1+0.095)^3)+'Cash Flow Statement'!G14*(1/(1+0.095)^4)+'Cash Flow Statement'!H14*(1/(1+0.095)^5)+('Income Statement'!H16*30)/(1+0.095)^5-Assumptions!C29)/Assumptions!C28</f>
        <v>750.03774738836228</v>
      </c>
      <c r="I11" s="43">
        <f>('Cash Flow Statement'!D14*(1/(1+0.095)^1)+'Cash Flow Statement'!E14*(1/(1+0.095)^2)+'Cash Flow Statement'!F14*(1/(1+0.095)^3)+'Cash Flow Statement'!G14*(1/(1+0.095)^4)+'Cash Flow Statement'!H14*(1/(1+0.095)^5)+('Income Statement'!H16*32)/(1+0.095)^5-Assumptions!C29)/Assumptions!C28</f>
        <v>795.34358677374257</v>
      </c>
      <c r="J11" s="43">
        <f>('Cash Flow Statement'!D14*(1/(1+0.095)^1)+'Cash Flow Statement'!E14*(1/(1+0.095)^2)+'Cash Flow Statement'!F14*(1/(1+0.095)^3)+'Cash Flow Statement'!G14*(1/(1+0.095)^4)+'Cash Flow Statement'!H14*(1/(1+0.095)^5)+('Income Statement'!H16*34)/(1+0.095)^5-Assumptions!C29)/Assumptions!C28</f>
        <v>840.64942615912298</v>
      </c>
    </row>
    <row r="12" spans="1:12" x14ac:dyDescent="0.25">
      <c r="B12" s="42" t="s">
        <v>154</v>
      </c>
      <c r="C12" s="43">
        <f>('Cash Flow Statement'!D14*(1/(1+0.1)^1)+'Cash Flow Statement'!E14*(1/(1+0.1)^2)+'Cash Flow Statement'!F14*(1/(1+0.1)^3)+'Cash Flow Statement'!G14*(1/(1+0.1)^4)+'Cash Flow Statement'!H14*(1/(1+0.1)^5)+('Income Statement'!H16*20)/(1+0.1)^5-Assumptions!C29)/Assumptions!C28</f>
        <v>512.35059359628883</v>
      </c>
      <c r="D12" s="43">
        <f>('Cash Flow Statement'!D14*(1/(1+0.1)^1)+'Cash Flow Statement'!E14*(1/(1+0.1)^2)+'Cash Flow Statement'!F14*(1/(1+0.1)^3)+'Cash Flow Statement'!G14*(1/(1+0.1)^4)+'Cash Flow Statement'!H14*(1/(1+0.1)^5)+('Income Statement'!H16*22)/(1+0.1)^5-Assumptions!C29)/Assumptions!C28</f>
        <v>556.63607307236555</v>
      </c>
      <c r="E12" s="43">
        <f>('Cash Flow Statement'!D14*(1/(1+0.1)^1)+'Cash Flow Statement'!E14*(1/(1+0.1)^2)+'Cash Flow Statement'!F14*(1/(1+0.1)^3)+'Cash Flow Statement'!G14*(1/(1+0.1)^4)+'Cash Flow Statement'!H14*(1/(1+0.1)^5)+('Income Statement'!H16*24)/(1+0.1)^5-Assumptions!C29)/Assumptions!C28</f>
        <v>600.92155254844215</v>
      </c>
      <c r="F12" s="43">
        <f>('Cash Flow Statement'!D14*(1/(1+0.1)^1)+'Cash Flow Statement'!E14*(1/(1+0.1)^2)+'Cash Flow Statement'!F14*(1/(1+0.1)^3)+'Cash Flow Statement'!G14*(1/(1+0.1)^4)+'Cash Flow Statement'!H14*(1/(1+0.1)^5)+('Income Statement'!H16*26)/(1+0.1)^5-Assumptions!C29)/Assumptions!C28</f>
        <v>645.20703202451875</v>
      </c>
      <c r="G12" s="43">
        <f>('Cash Flow Statement'!D14*(1/(1+0.1)^1)+'Cash Flow Statement'!E14*(1/(1+0.1)^2)+'Cash Flow Statement'!F14*(1/(1+0.1)^3)+'Cash Flow Statement'!G14*(1/(1+0.1)^4)+'Cash Flow Statement'!H14*(1/(1+0.1)^5)+('Income Statement'!H16*28)/(1+0.1)^5-Assumptions!C29)/Assumptions!C28</f>
        <v>689.49251150059547</v>
      </c>
      <c r="H12" s="43">
        <f>('Cash Flow Statement'!D14*(1/(1+0.1)^1)+'Cash Flow Statement'!E14*(1/(1+0.1)^2)+'Cash Flow Statement'!F14*(1/(1+0.1)^3)+'Cash Flow Statement'!G14*(1/(1+0.1)^4)+'Cash Flow Statement'!H14*(1/(1+0.1)^5)+('Income Statement'!H16*30)/(1+0.1)^5-Assumptions!C29)/Assumptions!C28</f>
        <v>733.77799097667207</v>
      </c>
      <c r="I12" s="43">
        <f>('Cash Flow Statement'!D14*(1/(1+0.1)^1)+'Cash Flow Statement'!E14*(1/(1+0.1)^2)+'Cash Flow Statement'!F14*(1/(1+0.1)^3)+'Cash Flow Statement'!G14*(1/(1+0.1)^4)+'Cash Flow Statement'!H14*(1/(1+0.1)^5)+('Income Statement'!H16*32)/(1+0.1)^5-Assumptions!C29)/Assumptions!C28</f>
        <v>778.06347045274867</v>
      </c>
      <c r="J12" s="43">
        <f>('Cash Flow Statement'!D14*(1/(1+0.1)^1)+'Cash Flow Statement'!E14*(1/(1+0.1)^2)+'Cash Flow Statement'!F14*(1/(1+0.1)^3)+'Cash Flow Statement'!G14*(1/(1+0.1)^4)+'Cash Flow Statement'!H14*(1/(1+0.1)^5)+('Income Statement'!H16*34)/(1+0.1)^5-Assumptions!C29)/Assumptions!C28</f>
        <v>822.34894992882528</v>
      </c>
    </row>
    <row r="13" spans="1:12" x14ac:dyDescent="0.25">
      <c r="B13" s="42" t="s">
        <v>155</v>
      </c>
      <c r="C13" s="43">
        <f>('Cash Flow Statement'!D14*(1/(1+0.105)^1)+'Cash Flow Statement'!E14*(1/(1+0.105)^2)+'Cash Flow Statement'!F14*(1/(1+0.105)^3)+'Cash Flow Statement'!G14*(1/(1+0.105)^4)+'Cash Flow Statement'!H14*(1/(1+0.105)^5)+('Income Statement'!H16*20)/(1+0.105)^5-Assumptions!C29)/Assumptions!C28</f>
        <v>501.48752859552985</v>
      </c>
      <c r="D13" s="43">
        <f>('Cash Flow Statement'!D14*(1/(1+0.105)^1)+'Cash Flow Statement'!E14*(1/(1+0.105)^2)+'Cash Flow Statement'!F14*(1/(1+0.105)^3)+'Cash Flow Statement'!G14*(1/(1+0.105)^4)+'Cash Flow Statement'!H14*(1/(1+0.105)^5)+('Income Statement'!H16*22)/(1+0.105)^5-Assumptions!C29)/Assumptions!C28</f>
        <v>544.78010048649116</v>
      </c>
      <c r="E13" s="43">
        <f>('Cash Flow Statement'!D14*(1/(1+0.105)^1)+'Cash Flow Statement'!E14*(1/(1+0.105)^2)+'Cash Flow Statement'!F14*(1/(1+0.105)^3)+'Cash Flow Statement'!G14*(1/(1+0.105)^4)+'Cash Flow Statement'!H14*(1/(1+0.105)^5)+('Income Statement'!H16*24)/(1+0.105)^5-Assumptions!C29)/Assumptions!C28</f>
        <v>588.07267237745259</v>
      </c>
      <c r="F13" s="43">
        <f>('Cash Flow Statement'!D14*(1/(1+0.105)^1)+'Cash Flow Statement'!E14*(1/(1+0.105)^2)+'Cash Flow Statement'!F14*(1/(1+0.105)^3)+'Cash Flow Statement'!G14*(1/(1+0.105)^4)+'Cash Flow Statement'!H14*(1/(1+0.105)^5)+('Income Statement'!H16*26)/(1+0.105)^5-Assumptions!C29)/Assumptions!C28</f>
        <v>631.36524426841379</v>
      </c>
      <c r="G13" s="43">
        <f>('Cash Flow Statement'!D14*(1/(1+0.105)^1)+'Cash Flow Statement'!E14*(1/(1+0.105)^2)+'Cash Flow Statement'!F14*(1/(1+0.105)^3)+'Cash Flow Statement'!G14*(1/(1+0.105)^4)+'Cash Flow Statement'!H14*(1/(1+0.105)^5)+('Income Statement'!H16*28)/(1+0.105)^5-Assumptions!C29)/Assumptions!C28</f>
        <v>674.6578161593751</v>
      </c>
      <c r="H13" s="43">
        <f>('Cash Flow Statement'!D14*(1/(1+0.105)^1)+'Cash Flow Statement'!E14*(1/(1+0.105)^2)+'Cash Flow Statement'!F14*(1/(1+0.105)^3)+'Cash Flow Statement'!G14*(1/(1+0.105)^4)+'Cash Flow Statement'!H14*(1/(1+0.105)^5)+('Income Statement'!H16*30)/(1+0.105)^5-Assumptions!C29)/Assumptions!C28</f>
        <v>717.95038805033641</v>
      </c>
      <c r="I13" s="43">
        <f>('Cash Flow Statement'!D14*(1/(1+0.105)^1)+'Cash Flow Statement'!E14*(1/(1+0.105)^2)+'Cash Flow Statement'!F14*(1/(1+0.105)^3)+'Cash Flow Statement'!G14*(1/(1+0.105)^4)+'Cash Flow Statement'!H14*(1/(1+0.105)^5)+('Income Statement'!H16*32)/(1+0.105)^5-Assumptions!C29)/Assumptions!C28</f>
        <v>761.24295994129773</v>
      </c>
      <c r="J13" s="43">
        <f>('Cash Flow Statement'!D14*(1/(1+0.105)^1)+'Cash Flow Statement'!E14*(1/(1+0.105)^2)+'Cash Flow Statement'!F14*(1/(1+0.105)^3)+'Cash Flow Statement'!G14*(1/(1+0.105)^4)+'Cash Flow Statement'!H14*(1/(1+0.105)^5)+('Income Statement'!H16*34)/(1+0.105)^5-Assumptions!C29)/Assumptions!C28</f>
        <v>804.53553183225904</v>
      </c>
    </row>
    <row r="14" spans="1:12" x14ac:dyDescent="0.25">
      <c r="B14" s="42" t="s">
        <v>156</v>
      </c>
      <c r="C14" s="43">
        <f>('Cash Flow Statement'!D14*(1/(1+0.11)^1)+'Cash Flow Statement'!E14*(1/(1+0.11)^2)+'Cash Flow Statement'!F14*(1/(1+0.11)^3)+'Cash Flow Statement'!G14*(1/(1+0.11)^4)+'Cash Flow Statement'!H14*(1/(1+0.11)^5)+('Income Statement'!H16*20)/(1+0.11)^5-Assumptions!C29)/Assumptions!C28</f>
        <v>490.91022520087768</v>
      </c>
      <c r="D14" s="43">
        <f>('Cash Flow Statement'!D14*(1/(1+0.11)^1)+'Cash Flow Statement'!E14*(1/(1+0.11)^2)+'Cash Flow Statement'!F14*(1/(1+0.11)^3)+'Cash Flow Statement'!G14*(1/(1+0.11)^4)+'Cash Flow Statement'!H14*(1/(1+0.11)^5)+('Income Statement'!H16*22)/(1+0.11)^5-Assumptions!C29)/Assumptions!C28</f>
        <v>533.2364839920964</v>
      </c>
      <c r="E14" s="43">
        <f>('Cash Flow Statement'!D14*(1/(1+0.11)^1)+'Cash Flow Statement'!E14*(1/(1+0.11)^2)+'Cash Flow Statement'!F14*(1/(1+0.11)^3)+'Cash Flow Statement'!G14*(1/(1+0.11)^4)+'Cash Flow Statement'!H14*(1/(1+0.11)^5)+('Income Statement'!H16*24)/(1+0.11)^5-Assumptions!C29)/Assumptions!C28</f>
        <v>575.56274278331523</v>
      </c>
      <c r="F14" s="43">
        <f>('Cash Flow Statement'!D14*(1/(1+0.11)^1)+'Cash Flow Statement'!E14*(1/(1+0.11)^2)+'Cash Flow Statement'!F14*(1/(1+0.11)^3)+'Cash Flow Statement'!G14*(1/(1+0.11)^4)+'Cash Flow Statement'!H14*(1/(1+0.11)^5)+('Income Statement'!H16*26)/(1+0.11)^5-Assumptions!C29)/Assumptions!C28</f>
        <v>617.88900157453384</v>
      </c>
      <c r="G14" s="43">
        <f>('Cash Flow Statement'!D14*(1/(1+0.11)^1)+'Cash Flow Statement'!E14*(1/(1+0.11)^2)+'Cash Flow Statement'!F14*(1/(1+0.11)^3)+'Cash Flow Statement'!G14*(1/(1+0.11)^4)+'Cash Flow Statement'!H14*(1/(1+0.11)^5)+('Income Statement'!H16*28)/(1+0.11)^5-Assumptions!C29)/Assumptions!C28</f>
        <v>660.21526036575267</v>
      </c>
      <c r="H14" s="43">
        <f>('Cash Flow Statement'!D14*(1/(1+0.11)^1)+'Cash Flow Statement'!E14*(1/(1+0.11)^2)+'Cash Flow Statement'!F14*(1/(1+0.11)^3)+'Cash Flow Statement'!G14*(1/(1+0.11)^4)+'Cash Flow Statement'!H14*(1/(1+0.11)^5)+('Income Statement'!H16*30)/(1+0.11)^5-Assumptions!C29)/Assumptions!C28</f>
        <v>702.54151915697139</v>
      </c>
      <c r="I14" s="43">
        <f>('Cash Flow Statement'!D14*(1/(1+0.11)^1)+'Cash Flow Statement'!E14*(1/(1+0.11)^2)+'Cash Flow Statement'!F14*(1/(1+0.11)^3)+'Cash Flow Statement'!G14*(1/(1+0.11)^4)+'Cash Flow Statement'!H14*(1/(1+0.11)^5)+('Income Statement'!H16*32)/(1+0.11)^5-Assumptions!C29)/Assumptions!C28</f>
        <v>744.86777794819011</v>
      </c>
      <c r="J14" s="43">
        <f>('Cash Flow Statement'!D14*(1/(1+0.11)^1)+'Cash Flow Statement'!E14*(1/(1+0.11)^2)+'Cash Flow Statement'!F14*(1/(1+0.11)^3)+'Cash Flow Statement'!G14*(1/(1+0.11)^4)+'Cash Flow Statement'!H14*(1/(1+0.11)^5)+('Income Statement'!H16*34)/(1+0.11)^5-Assumptions!C29)/Assumptions!C28</f>
        <v>787.19403673940883</v>
      </c>
    </row>
    <row r="18" spans="2:10" x14ac:dyDescent="0.25">
      <c r="B18" s="53" t="s">
        <v>157</v>
      </c>
      <c r="C18" s="53"/>
      <c r="D18" s="53"/>
      <c r="E18" s="53"/>
      <c r="F18" s="53"/>
      <c r="G18" s="53"/>
      <c r="H18" s="53"/>
      <c r="I18" s="53"/>
      <c r="J18" s="53"/>
    </row>
    <row r="19" spans="2:10" x14ac:dyDescent="0.25">
      <c r="B19" s="41" t="s">
        <v>158</v>
      </c>
      <c r="C19" s="42" t="s">
        <v>150</v>
      </c>
      <c r="D19" s="42" t="s">
        <v>151</v>
      </c>
      <c r="E19" s="42" t="s">
        <v>152</v>
      </c>
      <c r="F19" s="42" t="s">
        <v>153</v>
      </c>
      <c r="G19" s="42" t="s">
        <v>38</v>
      </c>
      <c r="H19" s="42" t="s">
        <v>154</v>
      </c>
      <c r="I19" s="42" t="s">
        <v>155</v>
      </c>
      <c r="J19" s="42" t="s">
        <v>156</v>
      </c>
    </row>
    <row r="20" spans="2:10" x14ac:dyDescent="0.25">
      <c r="B20" s="42" t="s">
        <v>159</v>
      </c>
      <c r="C20" s="43">
        <v>554.66999999999996</v>
      </c>
      <c r="D20" s="43">
        <v>542.54</v>
      </c>
      <c r="E20" s="43">
        <v>530.73</v>
      </c>
      <c r="F20" s="43">
        <v>519.25</v>
      </c>
      <c r="G20" s="43">
        <v>508.07</v>
      </c>
      <c r="H20" s="43">
        <v>497.18</v>
      </c>
      <c r="I20" s="43">
        <v>486.59</v>
      </c>
      <c r="J20" s="43">
        <v>476.28</v>
      </c>
    </row>
    <row r="21" spans="2:10" x14ac:dyDescent="0.25">
      <c r="B21" s="42" t="s">
        <v>160</v>
      </c>
      <c r="C21" s="43">
        <v>605.16</v>
      </c>
      <c r="D21" s="43">
        <v>591.88</v>
      </c>
      <c r="E21" s="43">
        <v>578.97</v>
      </c>
      <c r="F21" s="43">
        <v>566.4</v>
      </c>
      <c r="G21" s="43">
        <v>554.16999999999996</v>
      </c>
      <c r="H21" s="43">
        <v>542.27</v>
      </c>
      <c r="I21" s="43">
        <v>530.67999999999995</v>
      </c>
      <c r="J21" s="43">
        <v>519.4</v>
      </c>
    </row>
    <row r="22" spans="2:10" x14ac:dyDescent="0.25">
      <c r="B22" s="42" t="s">
        <v>161</v>
      </c>
      <c r="C22" s="43">
        <v>659.37</v>
      </c>
      <c r="D22" s="43">
        <v>644.88</v>
      </c>
      <c r="E22" s="43">
        <v>630.77</v>
      </c>
      <c r="F22" s="43">
        <v>617.04</v>
      </c>
      <c r="G22" s="43">
        <v>603.67999999999995</v>
      </c>
      <c r="H22" s="43">
        <v>590.67999999999995</v>
      </c>
      <c r="I22" s="43">
        <v>578.03</v>
      </c>
      <c r="J22" s="43">
        <v>565.70000000000005</v>
      </c>
    </row>
    <row r="23" spans="2:10" x14ac:dyDescent="0.25">
      <c r="B23" s="42" t="s">
        <v>162</v>
      </c>
      <c r="C23" s="43">
        <v>717.52</v>
      </c>
      <c r="D23" s="43">
        <v>701.71</v>
      </c>
      <c r="E23" s="43">
        <v>686.33</v>
      </c>
      <c r="F23" s="43">
        <v>671.35</v>
      </c>
      <c r="G23" s="43">
        <v>656.78</v>
      </c>
      <c r="H23" s="43">
        <v>642.6</v>
      </c>
      <c r="I23" s="43">
        <v>628.79999999999995</v>
      </c>
      <c r="J23" s="43">
        <v>615.36</v>
      </c>
    </row>
    <row r="24" spans="2:10" x14ac:dyDescent="0.25">
      <c r="B24" s="42" t="s">
        <v>163</v>
      </c>
      <c r="C24" s="43">
        <v>748.14</v>
      </c>
      <c r="D24" s="43">
        <v>731.63</v>
      </c>
      <c r="E24" s="43">
        <v>715.57</v>
      </c>
      <c r="F24" s="43">
        <v>699.95</v>
      </c>
      <c r="G24" s="44">
        <v>684.74</v>
      </c>
      <c r="H24" s="43">
        <v>669.94</v>
      </c>
      <c r="I24" s="43">
        <v>655.53</v>
      </c>
      <c r="J24" s="43">
        <v>641.5</v>
      </c>
    </row>
    <row r="25" spans="2:10" x14ac:dyDescent="0.25">
      <c r="B25" s="42" t="s">
        <v>164</v>
      </c>
      <c r="C25" s="43">
        <v>779.82</v>
      </c>
      <c r="D25" s="43">
        <v>762.6</v>
      </c>
      <c r="E25" s="43">
        <v>745.84</v>
      </c>
      <c r="F25" s="43">
        <v>729.54</v>
      </c>
      <c r="G25" s="43">
        <v>713.67</v>
      </c>
      <c r="H25" s="43">
        <v>698.22</v>
      </c>
      <c r="I25" s="43">
        <v>683.19</v>
      </c>
      <c r="J25" s="43">
        <v>668.55</v>
      </c>
    </row>
    <row r="26" spans="2:10" x14ac:dyDescent="0.25">
      <c r="B26" s="42" t="s">
        <v>165</v>
      </c>
      <c r="C26" s="43">
        <v>846.48</v>
      </c>
      <c r="D26" s="43">
        <v>827.75</v>
      </c>
      <c r="E26" s="43">
        <v>809.53</v>
      </c>
      <c r="F26" s="43">
        <v>791.79</v>
      </c>
      <c r="G26" s="43">
        <v>774.53</v>
      </c>
      <c r="H26" s="43">
        <v>757.74</v>
      </c>
      <c r="I26" s="43">
        <v>741.39</v>
      </c>
      <c r="J26" s="43">
        <v>725.47</v>
      </c>
    </row>
    <row r="27" spans="2:10" x14ac:dyDescent="0.25">
      <c r="B27" s="42" t="s">
        <v>166</v>
      </c>
      <c r="C27" s="43">
        <v>917.74</v>
      </c>
      <c r="D27" s="43">
        <v>897.39</v>
      </c>
      <c r="E27" s="43">
        <v>877.6</v>
      </c>
      <c r="F27" s="43">
        <v>858.34</v>
      </c>
      <c r="G27" s="43">
        <v>839.59</v>
      </c>
      <c r="H27" s="43">
        <v>821.35</v>
      </c>
      <c r="I27" s="43">
        <v>803.59</v>
      </c>
      <c r="J27" s="43">
        <v>786.3</v>
      </c>
    </row>
    <row r="31" spans="2:10" x14ac:dyDescent="0.25">
      <c r="B31" s="53" t="s">
        <v>167</v>
      </c>
      <c r="C31" s="53"/>
      <c r="D31" s="53"/>
      <c r="E31" s="53"/>
      <c r="F31" s="53"/>
      <c r="G31" s="53"/>
      <c r="H31" s="53"/>
      <c r="I31" s="53"/>
      <c r="J31" s="53"/>
    </row>
    <row r="32" spans="2:10" x14ac:dyDescent="0.25">
      <c r="B32" s="41" t="s">
        <v>168</v>
      </c>
      <c r="C32" s="42" t="s">
        <v>142</v>
      </c>
      <c r="D32" s="42" t="s">
        <v>143</v>
      </c>
      <c r="E32" s="42" t="s">
        <v>144</v>
      </c>
      <c r="F32" s="42" t="s">
        <v>145</v>
      </c>
      <c r="G32" s="42" t="s">
        <v>146</v>
      </c>
      <c r="H32" s="42" t="s">
        <v>147</v>
      </c>
      <c r="I32" s="42" t="s">
        <v>148</v>
      </c>
      <c r="J32" s="42" t="s">
        <v>149</v>
      </c>
    </row>
    <row r="33" spans="2:10" x14ac:dyDescent="0.25">
      <c r="B33" s="42" t="s">
        <v>169</v>
      </c>
      <c r="C33" s="43">
        <v>558.17999999999995</v>
      </c>
      <c r="D33" s="43">
        <v>606.45000000000005</v>
      </c>
      <c r="E33" s="43">
        <v>654.73</v>
      </c>
      <c r="F33" s="43">
        <v>703</v>
      </c>
      <c r="G33" s="43">
        <v>751.27</v>
      </c>
      <c r="H33" s="43">
        <v>799.55</v>
      </c>
      <c r="I33" s="43">
        <v>847.82</v>
      </c>
      <c r="J33" s="43">
        <v>896.09</v>
      </c>
    </row>
    <row r="34" spans="2:10" x14ac:dyDescent="0.25">
      <c r="B34" s="42" t="s">
        <v>170</v>
      </c>
      <c r="C34" s="43">
        <v>538.30999999999995</v>
      </c>
      <c r="D34" s="43">
        <v>584.9</v>
      </c>
      <c r="E34" s="43">
        <v>631.48</v>
      </c>
      <c r="F34" s="43">
        <v>678.07</v>
      </c>
      <c r="G34" s="43">
        <v>724.66</v>
      </c>
      <c r="H34" s="43">
        <v>771.25</v>
      </c>
      <c r="I34" s="43">
        <v>817.84</v>
      </c>
      <c r="J34" s="43">
        <v>864.43</v>
      </c>
    </row>
    <row r="35" spans="2:10" x14ac:dyDescent="0.25">
      <c r="B35" s="42" t="s">
        <v>171</v>
      </c>
      <c r="C35" s="43">
        <v>528.37</v>
      </c>
      <c r="D35" s="43">
        <v>574.12</v>
      </c>
      <c r="E35" s="43">
        <v>619.86</v>
      </c>
      <c r="F35" s="43">
        <v>665.61</v>
      </c>
      <c r="G35" s="43">
        <v>711.35</v>
      </c>
      <c r="H35" s="43">
        <v>757.1</v>
      </c>
      <c r="I35" s="43">
        <v>802.85</v>
      </c>
      <c r="J35" s="43">
        <v>848.59</v>
      </c>
    </row>
    <row r="36" spans="2:10" x14ac:dyDescent="0.25">
      <c r="B36" s="42" t="s">
        <v>172</v>
      </c>
      <c r="C36" s="43">
        <v>518.42999999999995</v>
      </c>
      <c r="D36" s="43">
        <v>563.34</v>
      </c>
      <c r="E36" s="43">
        <v>608.24</v>
      </c>
      <c r="F36" s="43">
        <v>653.14</v>
      </c>
      <c r="G36" s="43">
        <v>698.05</v>
      </c>
      <c r="H36" s="43">
        <v>742.95</v>
      </c>
      <c r="I36" s="43">
        <v>787.85</v>
      </c>
      <c r="J36" s="43">
        <v>832.76</v>
      </c>
    </row>
    <row r="37" spans="2:10" x14ac:dyDescent="0.25">
      <c r="B37" s="42" t="s">
        <v>173</v>
      </c>
      <c r="C37" s="43">
        <v>508.5</v>
      </c>
      <c r="D37" s="43">
        <v>552.55999999999995</v>
      </c>
      <c r="E37" s="43">
        <v>596.62</v>
      </c>
      <c r="F37" s="43">
        <v>640.67999999999995</v>
      </c>
      <c r="G37" s="44">
        <v>684.74</v>
      </c>
      <c r="H37" s="43">
        <v>728.8</v>
      </c>
      <c r="I37" s="43">
        <v>772.86</v>
      </c>
      <c r="J37" s="43">
        <v>816.92</v>
      </c>
    </row>
    <row r="38" spans="2:10" x14ac:dyDescent="0.25">
      <c r="B38" s="42" t="s">
        <v>174</v>
      </c>
      <c r="C38" s="43">
        <v>498.56</v>
      </c>
      <c r="D38" s="43">
        <v>541.78</v>
      </c>
      <c r="E38" s="43">
        <v>585</v>
      </c>
      <c r="F38" s="43">
        <v>628.22</v>
      </c>
      <c r="G38" s="43">
        <v>671.43</v>
      </c>
      <c r="H38" s="43">
        <v>714.65</v>
      </c>
      <c r="I38" s="43">
        <v>757.87</v>
      </c>
      <c r="J38" s="43">
        <v>801.09</v>
      </c>
    </row>
    <row r="39" spans="2:10" x14ac:dyDescent="0.25">
      <c r="B39" s="42" t="s">
        <v>175</v>
      </c>
      <c r="C39" s="43">
        <v>488.62</v>
      </c>
      <c r="D39" s="43">
        <v>531</v>
      </c>
      <c r="E39" s="43">
        <v>573.38</v>
      </c>
      <c r="F39" s="43">
        <v>615.75</v>
      </c>
      <c r="G39" s="43">
        <v>658.13</v>
      </c>
      <c r="H39" s="43">
        <v>700.5</v>
      </c>
      <c r="I39" s="43">
        <v>742.88</v>
      </c>
      <c r="J39" s="43">
        <v>785.26</v>
      </c>
    </row>
    <row r="40" spans="2:10" x14ac:dyDescent="0.25">
      <c r="B40" s="42" t="s">
        <v>176</v>
      </c>
      <c r="C40" s="43">
        <v>468.75</v>
      </c>
      <c r="D40" s="43">
        <v>509.44</v>
      </c>
      <c r="E40" s="43">
        <v>550.13</v>
      </c>
      <c r="F40" s="43">
        <v>590.82000000000005</v>
      </c>
      <c r="G40" s="43">
        <v>631.51</v>
      </c>
      <c r="H40" s="43">
        <v>672.21</v>
      </c>
      <c r="I40" s="43">
        <v>712.9</v>
      </c>
      <c r="J40" s="43">
        <v>753.59</v>
      </c>
    </row>
    <row r="43" spans="2:10" x14ac:dyDescent="0.25">
      <c r="B43" s="59" t="s">
        <v>177</v>
      </c>
      <c r="C43" s="59"/>
      <c r="D43" s="59"/>
      <c r="E43" s="59"/>
      <c r="F43" s="59"/>
    </row>
  </sheetData>
  <mergeCells count="6">
    <mergeCell ref="B43:F43"/>
    <mergeCell ref="A1:L1"/>
    <mergeCell ref="A2:L2"/>
    <mergeCell ref="B5:J5"/>
    <mergeCell ref="B18:J18"/>
    <mergeCell ref="B31:J31"/>
  </mergeCells>
  <conditionalFormatting sqref="C7:J14">
    <cfRule type="colorScale" priority="2">
      <colorScale>
        <cfvo type="min"/>
        <cfvo type="percentile" val="50"/>
        <cfvo type="max"/>
        <color rgb="FFF8696B"/>
        <color rgb="FFFFEB84"/>
        <color rgb="FF63BE7B"/>
      </colorScale>
    </cfRule>
  </conditionalFormatting>
  <conditionalFormatting sqref="C20:J27">
    <cfRule type="colorScale" priority="3">
      <colorScale>
        <cfvo type="min"/>
        <cfvo type="percentile" val="50"/>
        <cfvo type="max"/>
        <color rgb="FFF8696B"/>
        <color rgb="FFFFEB84"/>
        <color rgb="FF63BE7B"/>
      </colorScale>
    </cfRule>
  </conditionalFormatting>
  <conditionalFormatting sqref="C33:J40">
    <cfRule type="colorScale" priority="4">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4"/>
  <sheetViews>
    <sheetView showGridLines="0" showRowColHeaders="0" zoomScaleNormal="100" workbookViewId="0">
      <selection activeCell="S8" sqref="S8"/>
    </sheetView>
  </sheetViews>
  <sheetFormatPr defaultColWidth="8.7109375" defaultRowHeight="15" x14ac:dyDescent="0.25"/>
  <cols>
    <col min="1" max="1" width="2" customWidth="1"/>
  </cols>
  <sheetData>
    <row r="1" spans="1:16" ht="30" customHeight="1" x14ac:dyDescent="0.25">
      <c r="A1" s="52" t="s">
        <v>178</v>
      </c>
      <c r="B1" s="52"/>
      <c r="C1" s="52"/>
      <c r="D1" s="52"/>
      <c r="E1" s="52"/>
      <c r="F1" s="52"/>
      <c r="G1" s="52"/>
      <c r="H1" s="52"/>
      <c r="I1" s="52"/>
      <c r="J1" s="52"/>
      <c r="K1" s="52"/>
      <c r="L1" s="52"/>
      <c r="M1" s="52"/>
      <c r="N1" s="52"/>
      <c r="O1" s="52"/>
      <c r="P1" s="52"/>
    </row>
    <row r="4" spans="1:16" x14ac:dyDescent="0.25">
      <c r="B4" s="45" t="s">
        <v>179</v>
      </c>
      <c r="C4" s="45" t="s">
        <v>180</v>
      </c>
      <c r="D4" s="45" t="s">
        <v>181</v>
      </c>
      <c r="E4" s="45" t="s">
        <v>182</v>
      </c>
      <c r="F4" s="45" t="s">
        <v>183</v>
      </c>
      <c r="H4" s="45" t="s">
        <v>179</v>
      </c>
      <c r="I4" s="45" t="s">
        <v>184</v>
      </c>
      <c r="J4" s="45" t="s">
        <v>185</v>
      </c>
      <c r="K4" s="45" t="s">
        <v>186</v>
      </c>
    </row>
    <row r="5" spans="1:16" x14ac:dyDescent="0.25">
      <c r="B5" t="s">
        <v>187</v>
      </c>
      <c r="C5" s="23">
        <f>'Income Statement'!C6</f>
        <v>245122</v>
      </c>
      <c r="D5" s="23">
        <f>'Income Statement'!C16</f>
        <v>279136</v>
      </c>
      <c r="E5" s="23">
        <f>'Income Statement'!C21</f>
        <v>212145.81</v>
      </c>
      <c r="F5" s="23">
        <f>'Cash Flow Statement'!C14</f>
        <v>181029.81</v>
      </c>
      <c r="H5" t="s">
        <v>187</v>
      </c>
      <c r="I5" s="46">
        <f>'Income Statement'!C10</f>
        <v>1.3023555617202862</v>
      </c>
      <c r="J5" s="46">
        <f>D5/C5</f>
        <v>1.1387635544749146</v>
      </c>
      <c r="K5" s="46">
        <f>'Income Statement'!C22</f>
        <v>0.86547029642382156</v>
      </c>
    </row>
    <row r="6" spans="1:16" x14ac:dyDescent="0.25">
      <c r="B6" t="s">
        <v>188</v>
      </c>
      <c r="C6" s="23">
        <f>'Income Statement'!D6</f>
        <v>281890.3</v>
      </c>
      <c r="D6" s="23">
        <f>'Income Statement'!D16</f>
        <v>147146.7366</v>
      </c>
      <c r="E6" s="23">
        <f>'Income Statement'!D21</f>
        <v>107430.86838999999</v>
      </c>
      <c r="F6" s="23">
        <f>'Cash Flow Statement'!D14</f>
        <v>96880.62199</v>
      </c>
      <c r="H6" t="s">
        <v>188</v>
      </c>
      <c r="I6" s="46">
        <f>'Income Statement'!D10</f>
        <v>0.67</v>
      </c>
      <c r="J6" s="46">
        <f t="shared" ref="J6:J10" si="0">D6/C6</f>
        <v>0.52200000000000002</v>
      </c>
      <c r="K6" s="46">
        <f>'Income Statement'!D22</f>
        <v>0.38110878022408007</v>
      </c>
    </row>
    <row r="7" spans="1:16" x14ac:dyDescent="0.25">
      <c r="B7" t="s">
        <v>189</v>
      </c>
      <c r="C7" s="23">
        <f>'Income Statement'!E6</f>
        <v>326992.74799999996</v>
      </c>
      <c r="D7" s="23">
        <f>'Income Statement'!E16</f>
        <v>174287.13468399999</v>
      </c>
      <c r="E7" s="23">
        <f>'Income Statement'!E21</f>
        <v>126760.65004159999</v>
      </c>
      <c r="F7" s="23">
        <f>'Cash Flow Statement'!E14</f>
        <v>113752.81046960001</v>
      </c>
      <c r="H7" t="s">
        <v>189</v>
      </c>
      <c r="I7" s="46">
        <f>'Income Statement'!E10</f>
        <v>0.67500000000000004</v>
      </c>
      <c r="J7" s="46">
        <f t="shared" si="0"/>
        <v>0.53300000000000003</v>
      </c>
      <c r="K7" s="46">
        <f>'Income Statement'!E22</f>
        <v>0.38765584502075873</v>
      </c>
    </row>
    <row r="8" spans="1:16" x14ac:dyDescent="0.25">
      <c r="B8" t="s">
        <v>190</v>
      </c>
      <c r="C8" s="23">
        <f>'Income Statement'!F6</f>
        <v>372771.73271999991</v>
      </c>
      <c r="D8" s="23">
        <f>'Income Statement'!F16</f>
        <v>202415.05086695994</v>
      </c>
      <c r="E8" s="23">
        <f>'Income Statement'!F21</f>
        <v>146770.44806706315</v>
      </c>
      <c r="F8" s="23">
        <f>'Cash Flow Statement'!F14</f>
        <v>133061.71645314316</v>
      </c>
      <c r="H8" t="s">
        <v>190</v>
      </c>
      <c r="I8" s="46">
        <f>'Income Statement'!F10</f>
        <v>0.68</v>
      </c>
      <c r="J8" s="46">
        <f t="shared" si="0"/>
        <v>0.54299999999999993</v>
      </c>
      <c r="K8" s="46">
        <f>'Income Statement'!F22</f>
        <v>0.39372740791294614</v>
      </c>
    </row>
    <row r="9" spans="1:16" x14ac:dyDescent="0.25">
      <c r="B9" t="s">
        <v>191</v>
      </c>
      <c r="C9" s="23">
        <f>'Income Statement'!G6</f>
        <v>421232.05797359988</v>
      </c>
      <c r="D9" s="23">
        <f>'Income Statement'!G16</f>
        <v>232520.09600142713</v>
      </c>
      <c r="E9" s="23">
        <f>'Income Statement'!G21</f>
        <v>168486.11624797367</v>
      </c>
      <c r="F9" s="23">
        <f>'Cash Flow Statement'!G14</f>
        <v>153741.21001419125</v>
      </c>
      <c r="H9" t="s">
        <v>191</v>
      </c>
      <c r="I9" s="46">
        <f>'Income Statement'!G10</f>
        <v>0.68500000000000005</v>
      </c>
      <c r="J9" s="46">
        <f t="shared" si="0"/>
        <v>0.55199999999999994</v>
      </c>
      <c r="K9" s="46">
        <f>'Income Statement'!G22</f>
        <v>0.39998407779906747</v>
      </c>
    </row>
    <row r="10" spans="1:16" x14ac:dyDescent="0.25">
      <c r="B10" t="s">
        <v>192</v>
      </c>
      <c r="C10" s="23">
        <f>'Income Statement'!H6</f>
        <v>471779.90493043192</v>
      </c>
      <c r="D10" s="23">
        <f>'Income Statement'!H16</f>
        <v>265140.30657090276</v>
      </c>
      <c r="E10" s="23">
        <f>'Income Statement'!H21</f>
        <v>191727.00532178589</v>
      </c>
      <c r="F10" s="23">
        <f>'Cash Flow Statement'!H14</f>
        <v>176574.4359211009</v>
      </c>
      <c r="H10" t="s">
        <v>192</v>
      </c>
      <c r="I10" s="46">
        <f>'Income Statement'!H10</f>
        <v>0.69</v>
      </c>
      <c r="J10" s="46">
        <f t="shared" si="0"/>
        <v>0.56200000000000006</v>
      </c>
      <c r="K10" s="46">
        <f>'Income Statement'!H22</f>
        <v>0.40639078374916737</v>
      </c>
    </row>
    <row r="18" spans="2:3" x14ac:dyDescent="0.25">
      <c r="B18" s="45" t="s">
        <v>179</v>
      </c>
      <c r="C18" s="45" t="s">
        <v>183</v>
      </c>
    </row>
    <row r="19" spans="2:3" x14ac:dyDescent="0.25">
      <c r="B19" t="s">
        <v>187</v>
      </c>
      <c r="C19" s="23">
        <f>'Cash Flow Statement'!C14</f>
        <v>181029.81</v>
      </c>
    </row>
    <row r="20" spans="2:3" x14ac:dyDescent="0.25">
      <c r="B20" t="s">
        <v>188</v>
      </c>
      <c r="C20" s="23">
        <f>'Cash Flow Statement'!D14</f>
        <v>96880.62199</v>
      </c>
    </row>
    <row r="21" spans="2:3" x14ac:dyDescent="0.25">
      <c r="B21" t="s">
        <v>189</v>
      </c>
      <c r="C21" s="23">
        <f>'Cash Flow Statement'!E14</f>
        <v>113752.81046960001</v>
      </c>
    </row>
    <row r="22" spans="2:3" x14ac:dyDescent="0.25">
      <c r="B22" t="s">
        <v>190</v>
      </c>
      <c r="C22" s="23">
        <f>'Cash Flow Statement'!F14</f>
        <v>133061.71645314316</v>
      </c>
    </row>
    <row r="23" spans="2:3" x14ac:dyDescent="0.25">
      <c r="B23" t="s">
        <v>191</v>
      </c>
      <c r="C23" s="23">
        <f>'Cash Flow Statement'!G14</f>
        <v>153741.21001419125</v>
      </c>
    </row>
    <row r="24" spans="2:3" x14ac:dyDescent="0.25">
      <c r="B24" t="s">
        <v>192</v>
      </c>
      <c r="C24" s="23">
        <f>'Cash Flow Statement'!H14</f>
        <v>176574.4359211009</v>
      </c>
    </row>
  </sheetData>
  <mergeCells count="1">
    <mergeCell ref="A1:P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4"/>
  <sheetViews>
    <sheetView showGridLines="0" showRowColHeaders="0" tabSelected="1" topLeftCell="A43" zoomScaleNormal="100" workbookViewId="0">
      <selection activeCell="I64" sqref="I64"/>
    </sheetView>
  </sheetViews>
  <sheetFormatPr defaultColWidth="8.7109375" defaultRowHeight="15" x14ac:dyDescent="0.25"/>
  <cols>
    <col min="1" max="1" width="3" customWidth="1"/>
    <col min="2" max="2" width="30" customWidth="1"/>
    <col min="3" max="8" width="15" customWidth="1"/>
  </cols>
  <sheetData>
    <row r="1" spans="1:9" ht="30" customHeight="1" x14ac:dyDescent="0.25">
      <c r="A1" s="52" t="s">
        <v>193</v>
      </c>
      <c r="B1" s="52"/>
      <c r="C1" s="52"/>
      <c r="D1" s="52"/>
      <c r="E1" s="52"/>
      <c r="F1" s="52"/>
      <c r="G1" s="52"/>
      <c r="H1" s="52"/>
    </row>
    <row r="2" spans="1:9" x14ac:dyDescent="0.25">
      <c r="A2" s="67" t="s">
        <v>194</v>
      </c>
      <c r="B2" s="67"/>
      <c r="C2" s="67"/>
      <c r="D2" s="67"/>
      <c r="E2" s="67"/>
      <c r="F2" s="67"/>
      <c r="G2" s="67"/>
      <c r="H2" s="67"/>
    </row>
    <row r="4" spans="1:9" x14ac:dyDescent="0.25">
      <c r="B4" s="4" t="s">
        <v>195</v>
      </c>
      <c r="C4" s="4" t="s">
        <v>196</v>
      </c>
      <c r="D4" s="4" t="s">
        <v>197</v>
      </c>
      <c r="E4" s="4" t="s">
        <v>198</v>
      </c>
      <c r="F4" s="4" t="s">
        <v>199</v>
      </c>
      <c r="G4" s="4" t="s">
        <v>200</v>
      </c>
      <c r="H4" s="4" t="s">
        <v>201</v>
      </c>
      <c r="I4" s="4" t="s">
        <v>197</v>
      </c>
    </row>
    <row r="5" spans="1:9" x14ac:dyDescent="0.25">
      <c r="B5" s="9" t="s">
        <v>63</v>
      </c>
      <c r="C5" s="8" t="s">
        <v>154</v>
      </c>
      <c r="D5" s="47">
        <v>554.16999999999996</v>
      </c>
      <c r="E5" s="48">
        <v>684.74</v>
      </c>
      <c r="F5" s="49">
        <v>839.59</v>
      </c>
      <c r="G5" s="8" t="s">
        <v>202</v>
      </c>
      <c r="H5" s="50">
        <v>285.42</v>
      </c>
      <c r="I5" s="51">
        <f>-D5</f>
        <v>-554.16999999999996</v>
      </c>
    </row>
    <row r="6" spans="1:9" x14ac:dyDescent="0.25">
      <c r="B6" s="9" t="s">
        <v>203</v>
      </c>
      <c r="C6" s="8" t="s">
        <v>143</v>
      </c>
      <c r="D6" s="47">
        <v>552.55999999999995</v>
      </c>
      <c r="E6" s="48">
        <v>684.74</v>
      </c>
      <c r="F6" s="49">
        <v>816.92</v>
      </c>
      <c r="G6" s="8" t="s">
        <v>149</v>
      </c>
      <c r="H6" s="50">
        <v>264.36</v>
      </c>
      <c r="I6" s="51">
        <f t="shared" ref="I6:I9" si="0">-D6</f>
        <v>-552.55999999999995</v>
      </c>
    </row>
    <row r="7" spans="1:9" x14ac:dyDescent="0.25">
      <c r="B7" s="9" t="s">
        <v>204</v>
      </c>
      <c r="C7" s="8" t="s">
        <v>205</v>
      </c>
      <c r="D7" s="47">
        <v>631.51</v>
      </c>
      <c r="E7" s="48">
        <v>684.74</v>
      </c>
      <c r="F7" s="49">
        <v>751.27</v>
      </c>
      <c r="G7" s="8" t="s">
        <v>206</v>
      </c>
      <c r="H7" s="50">
        <v>119.76</v>
      </c>
      <c r="I7" s="51">
        <f t="shared" si="0"/>
        <v>-631.51</v>
      </c>
    </row>
    <row r="8" spans="1:9" x14ac:dyDescent="0.25">
      <c r="B8" s="9" t="s">
        <v>207</v>
      </c>
      <c r="C8" s="8" t="s">
        <v>156</v>
      </c>
      <c r="D8" s="47">
        <v>641.5</v>
      </c>
      <c r="E8" s="48">
        <v>684.74</v>
      </c>
      <c r="F8" s="49">
        <v>748.14</v>
      </c>
      <c r="G8" s="8" t="s">
        <v>150</v>
      </c>
      <c r="H8" s="50">
        <v>106.64</v>
      </c>
      <c r="I8" s="51">
        <f t="shared" si="0"/>
        <v>-641.5</v>
      </c>
    </row>
    <row r="9" spans="1:9" x14ac:dyDescent="0.25">
      <c r="B9" s="9" t="s">
        <v>76</v>
      </c>
      <c r="C9" s="8" t="s">
        <v>208</v>
      </c>
      <c r="D9" s="47">
        <v>684.74</v>
      </c>
      <c r="E9" s="48">
        <v>684.74</v>
      </c>
      <c r="F9" s="49">
        <v>684.74</v>
      </c>
      <c r="G9" s="8" t="s">
        <v>209</v>
      </c>
      <c r="H9" s="50">
        <v>0</v>
      </c>
      <c r="I9" s="51">
        <f t="shared" si="0"/>
        <v>-684.74</v>
      </c>
    </row>
    <row r="21" spans="2:16" x14ac:dyDescent="0.25">
      <c r="J21" s="68">
        <v>0.15</v>
      </c>
    </row>
    <row r="22" spans="2:16" x14ac:dyDescent="0.25">
      <c r="J22">
        <v>28</v>
      </c>
    </row>
    <row r="23" spans="2:16" x14ac:dyDescent="0.25">
      <c r="J23" s="68"/>
    </row>
    <row r="27" spans="2:16" x14ac:dyDescent="0.25">
      <c r="B27" s="79" t="s">
        <v>210</v>
      </c>
      <c r="C27" s="79"/>
      <c r="E27" s="79" t="s">
        <v>211</v>
      </c>
      <c r="F27" s="79"/>
      <c r="H27" s="79" t="s">
        <v>212</v>
      </c>
      <c r="I27" s="79"/>
      <c r="L27" s="79" t="s">
        <v>213</v>
      </c>
      <c r="M27" s="79"/>
      <c r="O27" s="79" t="s">
        <v>214</v>
      </c>
      <c r="P27" s="79"/>
    </row>
    <row r="28" spans="2:16" x14ac:dyDescent="0.25">
      <c r="B28" s="80">
        <v>0</v>
      </c>
      <c r="C28" s="69">
        <f>'DCF Valuation'!C23</f>
        <v>704.73190800298187</v>
      </c>
      <c r="E28" s="80">
        <v>0</v>
      </c>
      <c r="F28" s="69">
        <f>'DCF Valuation'!C23</f>
        <v>704.73190800298187</v>
      </c>
      <c r="H28" s="81">
        <v>0</v>
      </c>
      <c r="I28" s="69">
        <f>'DCF Valuation'!C23</f>
        <v>704.73190800298187</v>
      </c>
      <c r="L28" s="80">
        <v>0</v>
      </c>
      <c r="M28" s="69">
        <f>'DCF Valuation'!C23</f>
        <v>704.73190800298187</v>
      </c>
      <c r="O28" s="80">
        <v>0</v>
      </c>
      <c r="P28" s="69">
        <f>'DCF Valuation'!C23</f>
        <v>704.73190800298187</v>
      </c>
    </row>
    <row r="29" spans="2:16" x14ac:dyDescent="0.25">
      <c r="B29" s="80">
        <v>0.05</v>
      </c>
      <c r="C29" s="69">
        <f t="dataTable" ref="C29:C30" dt2D="0" dtr="0" r1="B28" ca="1"/>
        <v>865.67957012038073</v>
      </c>
      <c r="E29" s="80">
        <v>0.05</v>
      </c>
      <c r="F29" s="69">
        <f t="dataTable" ref="F29:F30" dt2D="0" dtr="0" r1="E28"/>
        <v>640.82744721239021</v>
      </c>
      <c r="H29" s="81">
        <v>2</v>
      </c>
      <c r="I29" s="69">
        <f t="dataTable" ref="I29:I30" dt2D="0" dtr="0" r1="H28" ca="1"/>
        <v>750.03774738836228</v>
      </c>
      <c r="L29" s="80">
        <v>0.01</v>
      </c>
      <c r="M29" s="69">
        <f t="dataTable" ref="M29:M30" dt2D="0" dtr="0" r1="L28" ca="1"/>
        <v>674.6578161593751</v>
      </c>
      <c r="O29" s="80">
        <v>0.02</v>
      </c>
      <c r="P29" s="69">
        <f t="dataTable" ref="P29:P30" dt2D="0" dtr="0" r1="O28" ca="1"/>
        <v>704.73190800298187</v>
      </c>
    </row>
    <row r="30" spans="2:16" x14ac:dyDescent="0.25">
      <c r="B30" s="80">
        <v>-0.05</v>
      </c>
      <c r="C30" s="69">
        <v>569.22977962255732</v>
      </c>
      <c r="E30" s="80">
        <v>-0.05</v>
      </c>
      <c r="F30" s="69">
        <v>768.63636879357341</v>
      </c>
      <c r="H30" s="81">
        <v>-2</v>
      </c>
      <c r="I30" s="69">
        <v>659.42606861760157</v>
      </c>
      <c r="L30" s="80">
        <v>-0.01</v>
      </c>
      <c r="M30" s="69">
        <v>736.47738656949423</v>
      </c>
      <c r="O30" s="80">
        <v>-0.02</v>
      </c>
      <c r="P30" s="69">
        <v>704.73190800298187</v>
      </c>
    </row>
    <row r="32" spans="2:16" x14ac:dyDescent="0.25">
      <c r="B32">
        <f>'DCF Valuation'!C23</f>
        <v>704.73190800298187</v>
      </c>
      <c r="C32" s="68">
        <v>0.05</v>
      </c>
      <c r="D32" s="70">
        <v>0.1</v>
      </c>
      <c r="E32" s="68">
        <v>0.15</v>
      </c>
      <c r="F32" s="70">
        <v>0.2</v>
      </c>
      <c r="G32" s="68">
        <v>0.25</v>
      </c>
    </row>
    <row r="33" spans="2:7" x14ac:dyDescent="0.25">
      <c r="B33" s="69">
        <v>24</v>
      </c>
      <c r="C33" s="75">
        <f t="dataTable" ref="C33:G37" dt2D="1" dtr="1" r1="J21" r2="J22" ca="1"/>
        <v>398.75035249042833</v>
      </c>
      <c r="D33" s="76">
        <v>496.82341805082763</v>
      </c>
      <c r="E33" s="76">
        <v>614.12022923222116</v>
      </c>
      <c r="F33" s="76">
        <v>753.37214340464584</v>
      </c>
      <c r="G33" s="76">
        <v>917.55897599781372</v>
      </c>
    </row>
    <row r="34" spans="2:7" x14ac:dyDescent="0.25">
      <c r="B34" s="69">
        <v>26</v>
      </c>
      <c r="C34" s="73">
        <v>427.37650192504555</v>
      </c>
      <c r="D34" s="77">
        <v>533.02659883669276</v>
      </c>
      <c r="E34" s="77">
        <v>659.42606861760157</v>
      </c>
      <c r="F34" s="77">
        <v>809.52585676251329</v>
      </c>
      <c r="G34" s="74">
        <v>986.54549308908315</v>
      </c>
    </row>
    <row r="35" spans="2:7" x14ac:dyDescent="0.25">
      <c r="B35" s="69">
        <v>28</v>
      </c>
      <c r="C35" s="73">
        <v>456.00265135966276</v>
      </c>
      <c r="D35" s="77">
        <v>569.22977962255777</v>
      </c>
      <c r="E35" s="78">
        <v>704.73190800298187</v>
      </c>
      <c r="F35" s="77">
        <v>865.67957012038073</v>
      </c>
      <c r="G35" s="74">
        <v>1055.5320101803527</v>
      </c>
    </row>
    <row r="36" spans="2:7" x14ac:dyDescent="0.25">
      <c r="B36" s="69">
        <v>30</v>
      </c>
      <c r="C36" s="73">
        <v>484.62880079428004</v>
      </c>
      <c r="D36" s="77">
        <v>605.43296040842279</v>
      </c>
      <c r="E36" s="77">
        <v>750.03774738836228</v>
      </c>
      <c r="F36" s="77">
        <v>921.83328347824829</v>
      </c>
      <c r="G36" s="74">
        <v>1124.5185272716221</v>
      </c>
    </row>
    <row r="37" spans="2:7" x14ac:dyDescent="0.25">
      <c r="B37" s="69">
        <v>32</v>
      </c>
      <c r="C37" s="73">
        <v>513.25495022889731</v>
      </c>
      <c r="D37" s="74">
        <v>641.6361411942878</v>
      </c>
      <c r="E37" s="74">
        <v>795.34358677374257</v>
      </c>
      <c r="F37" s="74">
        <v>977.98699683611585</v>
      </c>
      <c r="G37" s="74">
        <v>1193.5050443628918</v>
      </c>
    </row>
    <row r="40" spans="2:7" x14ac:dyDescent="0.25">
      <c r="D40" t="s">
        <v>215</v>
      </c>
      <c r="G40" t="s">
        <v>216</v>
      </c>
    </row>
    <row r="41" spans="2:7" x14ac:dyDescent="0.25">
      <c r="B41" t="str">
        <f>B27</f>
        <v>Revenue Growth rate +/- 5%</v>
      </c>
      <c r="C41" s="68">
        <f>C29/C28-1</f>
        <v>0.22838140332467805</v>
      </c>
      <c r="D41" s="72">
        <f>ABS(C41)</f>
        <v>0.22838140332467805</v>
      </c>
      <c r="E41">
        <v>1</v>
      </c>
      <c r="F41" s="68">
        <f>SMALL($D$41:$D$44,E41)</f>
        <v>4.2674514240214512E-2</v>
      </c>
      <c r="G41" s="68" cm="1">
        <f t="array" ref="G41:G44">-ABS(D41:D44)</f>
        <v>-0.22838140332467805</v>
      </c>
    </row>
    <row r="42" spans="2:7" x14ac:dyDescent="0.25">
      <c r="B42" t="str">
        <f>E27</f>
        <v>COGS +/-5%</v>
      </c>
      <c r="C42" s="68">
        <f>F29/F28-1</f>
        <v>-9.0679107991121777E-2</v>
      </c>
      <c r="D42" s="72">
        <f t="shared" ref="D42:D44" si="1">ABS(C42)</f>
        <v>9.0679107991121777E-2</v>
      </c>
      <c r="E42">
        <v>2</v>
      </c>
      <c r="F42" s="68">
        <f t="shared" ref="F42:F44" si="2">SMALL($D$41:$D$44,E42)</f>
        <v>6.4288048931635311E-2</v>
      </c>
      <c r="G42" s="68">
        <v>-9.0679107991121777E-2</v>
      </c>
    </row>
    <row r="43" spans="2:7" x14ac:dyDescent="0.25">
      <c r="B43" t="str">
        <f>H27</f>
        <v>EV/EBITDA +/1</v>
      </c>
      <c r="C43" s="68">
        <f>I29/I28-1</f>
        <v>6.4288048931635311E-2</v>
      </c>
      <c r="D43" s="72">
        <f t="shared" si="1"/>
        <v>6.4288048931635311E-2</v>
      </c>
      <c r="E43">
        <v>3</v>
      </c>
      <c r="F43" s="68">
        <f t="shared" si="2"/>
        <v>9.0679107991121777E-2</v>
      </c>
      <c r="G43" s="68">
        <v>-6.4288048931635311E-2</v>
      </c>
    </row>
    <row r="44" spans="2:7" x14ac:dyDescent="0.25">
      <c r="B44" t="str">
        <f>L27</f>
        <v>WACC +/- 1%</v>
      </c>
      <c r="C44" s="68">
        <f>M29/M28-1</f>
        <v>-4.2674514240214512E-2</v>
      </c>
      <c r="D44" s="72">
        <f t="shared" si="1"/>
        <v>4.2674514240214512E-2</v>
      </c>
      <c r="E44">
        <v>4</v>
      </c>
      <c r="F44" s="68">
        <f t="shared" si="2"/>
        <v>0.22838140332467805</v>
      </c>
      <c r="G44" s="68">
        <v>-4.2674514240214512E-2</v>
      </c>
    </row>
  </sheetData>
  <mergeCells count="7">
    <mergeCell ref="L27:M27"/>
    <mergeCell ref="O27:P27"/>
    <mergeCell ref="A1:H1"/>
    <mergeCell ref="A2:H2"/>
    <mergeCell ref="B27:C27"/>
    <mergeCell ref="E27:F27"/>
    <mergeCell ref="H27:I27"/>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2DDD-2397-4AAA-A819-38D2E45D98CA}">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Assumptions</vt:lpstr>
      <vt:lpstr>Income Statement</vt:lpstr>
      <vt:lpstr>Cash Flow Statement</vt:lpstr>
      <vt:lpstr>DCF Valuation</vt:lpstr>
      <vt:lpstr>Sensitivity Analysis</vt:lpstr>
      <vt:lpstr>Charts &amp; Visualizations</vt:lpstr>
      <vt:lpstr>Tornado Analysis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Ameet Salvi</cp:lastModifiedBy>
  <cp:revision>1</cp:revision>
  <dcterms:created xsi:type="dcterms:W3CDTF">2026-05-21T04:46:47Z</dcterms:created>
  <dcterms:modified xsi:type="dcterms:W3CDTF">2026-05-21T07:43:45Z</dcterms:modified>
  <dc:language>en-US</dc:language>
</cp:coreProperties>
</file>